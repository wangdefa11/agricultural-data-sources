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32cf2448d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使用说明" sheetId="1" r:id="Ra8aedfcb6cb34e88"/>
    <x:sheet xmlns:r="http://schemas.openxmlformats.org/officeDocument/2006/relationships" name="字段字典" sheetId="2" r:id="Rc33eaf9861e64ee4"/>
    <x:sheet xmlns:r="http://schemas.openxmlformats.org/officeDocument/2006/relationships" name="数据源与口径" sheetId="3" r:id="R280b67c78cc1457f"/>
    <x:sheet xmlns:r="http://schemas.openxmlformats.org/officeDocument/2006/relationships" name="01全球油籽年度" sheetId="4" r:id="R6d6193010c9f4341"/>
    <x:sheet xmlns:r="http://schemas.openxmlformats.org/officeDocument/2006/relationships" name="02大豆主产国年度" sheetId="5" r:id="R68b7cc6ccb124d9c"/>
    <x:sheet xmlns:r="http://schemas.openxmlformats.org/officeDocument/2006/relationships" name="03中国进口月度" sheetId="6" r:id="Rc868f704c7e240a3"/>
    <x:sheet xmlns:r="http://schemas.openxmlformats.org/officeDocument/2006/relationships" name="04压榨库存月度" sheetId="7" r:id="R2871814629974855"/>
    <x:sheet xmlns:r="http://schemas.openxmlformats.org/officeDocument/2006/relationships" name="05饲料月度" sheetId="8" r:id="R9293c24906af4245"/>
    <x:sheet xmlns:r="http://schemas.openxmlformats.org/officeDocument/2006/relationships" name="06养殖月度" sheetId="9" r:id="R6b51987af6a744e6"/>
    <x:sheet xmlns:r="http://schemas.openxmlformats.org/officeDocument/2006/relationships" name="07价格基差月度" sheetId="10" r:id="R771af4f97ee14ff9"/>
    <x:sheet xmlns:r="http://schemas.openxmlformats.org/officeDocument/2006/relationships" name="08成本利润月度" sheetId="11" r:id="Raf30872767f3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"/>
    <x:numFmt numFmtId="201" formatCode="#,##0.0"/>
    <x:numFmt numFmtId="202" formatCode="0.0%"/>
  </x:numFmts>
  <x:fonts count="7">
    <x:font>
      <x:sz val="11"/>
      <x:name val="Carlito"/>
    </x:font>
    <x:font>
      <x:b/>
      <x:sz val="17"/>
      <x:color rgb="FFFFFFFF"/>
      <x:name val="Microsoft YaHei"/>
    </x:font>
    <x:font>
      <x:b/>
      <x:sz val="10"/>
      <x:color rgb="FFFFFFFF"/>
      <x:name val="Microsoft YaHei"/>
    </x:font>
    <x:font>
      <x:sz val="10"/>
      <x:color rgb="FF222222"/>
      <x:name val="Microsoft YaHei"/>
    </x:font>
    <x:font>
      <x:sz val="9"/>
      <x:color rgb="FF222222"/>
      <x:name val="Microsoft YaHei"/>
    </x:font>
    <x:font>
      <x:i/>
      <x:sz val="9"/>
      <x:color rgb="FF9C0006"/>
      <x:name val="Microsoft YaHei"/>
    </x:font>
    <x:font>
      <x:sz val="9"/>
      <x:color rgb="FF0070C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D71900"/>
      </x:patternFill>
    </x:fill>
    <x:fill>
      <x:patternFill patternType="solid">
        <x:fgColor rgb="FFFCE4D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2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200" fontId="6" fillId="4" borderId="10" xfId="0" applyNumberFormat="1" applyFont="1" applyFill="1" applyBorder="1" applyAlignment="1">
      <x:alignment wrapText="1"/>
    </x:xf>
    <x:xf numFmtId="200" fontId="6" fillId="4" borderId="11" xfId="0" applyNumberFormat="1" applyFont="1" applyFill="1" applyBorder="1" applyAlignment="1">
      <x:alignment wrapText="1"/>
    </x:xf>
    <x:xf numFmtId="201" fontId="6" fillId="4" borderId="10" xfId="0" applyNumberFormat="1" applyFont="1" applyFill="1" applyBorder="1" applyAlignment="1">
      <x:alignment wrapText="1"/>
    </x:xf>
    <x:xf numFmtId="201" fontId="6" fillId="4" borderId="11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201" fontId="4" fillId="5" borderId="10" xfId="0" applyNumberFormat="1" applyFont="1" applyFill="1" applyBorder="1" applyAlignment="1">
      <x:alignment wrapText="1"/>
    </x:xf>
    <x:xf numFmtId="201" fontId="4" fillId="5" borderId="11" xfId="0" applyNumberFormat="1" applyFont="1" applyFill="1" applyBorder="1" applyAlignment="1">
      <x:alignment wrapText="1"/>
    </x:xf>
    <x:xf numFmtId="202" fontId="6" fillId="4" borderId="10" xfId="0" applyNumberFormat="1" applyFont="1" applyFill="1" applyBorder="1" applyAlignment="1">
      <x:alignment wrapText="1"/>
    </x:xf>
    <x:xf numFmtId="202" fontId="6" fillId="4" borderId="1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508e1227e4f3f" /><Relationship Type="http://schemas.openxmlformats.org/officeDocument/2006/relationships/theme" Target="/xl/theme/theme1.xml" Id="Rcd778f8b694c4123" /><Relationship Type="http://schemas.openxmlformats.org/officeDocument/2006/relationships/sharedStrings" Target="/xl/sharedStrings.xml" Id="Rd50a0d07393d4ac6" /><Relationship Type="http://schemas.openxmlformats.org/officeDocument/2006/relationships/worksheet" Target="/xl/worksheets/sheet1.xml" Id="Ra8aedfcb6cb34e88" /><Relationship Type="http://schemas.openxmlformats.org/officeDocument/2006/relationships/worksheet" Target="/xl/worksheets/sheet2.xml" Id="Rc33eaf9861e64ee4" /><Relationship Type="http://schemas.openxmlformats.org/officeDocument/2006/relationships/worksheet" Target="/xl/worksheets/sheet3.xml" Id="R280b67c78cc1457f" /><Relationship Type="http://schemas.openxmlformats.org/officeDocument/2006/relationships/worksheet" Target="/xl/worksheets/sheet4.xml" Id="R6d6193010c9f4341" /><Relationship Type="http://schemas.openxmlformats.org/officeDocument/2006/relationships/worksheet" Target="/xl/worksheets/sheet5.xml" Id="R68b7cc6ccb124d9c" /><Relationship Type="http://schemas.openxmlformats.org/officeDocument/2006/relationships/worksheet" Target="/xl/worksheets/sheet6.xml" Id="Rc868f704c7e240a3" /><Relationship Type="http://schemas.openxmlformats.org/officeDocument/2006/relationships/worksheet" Target="/xl/worksheets/sheet7.xml" Id="R2871814629974855" /><Relationship Type="http://schemas.openxmlformats.org/officeDocument/2006/relationships/worksheet" Target="/xl/worksheets/sheet8.xml" Id="R9293c24906af4245" /><Relationship Type="http://schemas.openxmlformats.org/officeDocument/2006/relationships/worksheet" Target="/xl/worksheets/sheet9.xml" Id="R6b51987af6a744e6" /><Relationship Type="http://schemas.openxmlformats.org/officeDocument/2006/relationships/worksheet" Target="/xl/worksheets/sheet10.xml" Id="R771af4f97ee14ff9" /><Relationship Type="http://schemas.openxmlformats.org/officeDocument/2006/relationships/worksheet" Target="/xl/worksheets/sheet11.xml" Id="Raf30872767f34313" /></Relationships>
</file>

<file path=xl/tables/table1.xml><?xml version="1.0" encoding="utf-8"?>
<x:table xmlns:x="http://schemas.openxmlformats.org/spreadsheetml/2006/main" id="1" name="T01全球油籽年度" displayName="T01全球油籽年度" ref="A4:L24" headerRowCount="1" totalsRowCount="0" totalsRowShown="0">
  <x:tableColumns count="12">
    <x:tableColumn id="1" name="营销年度&#10;必填"/>
    <x:tableColumn id="2" name="数据版本日期&#10;必填"/>
    <x:tableColumn id="3" name="油籽品种&#10;必填"/>
    <x:tableColumn id="4" name="国家或地区&#10;必填"/>
    <x:tableColumn id="5" name="产量&#10;必填"/>
    <x:tableColumn id="6" name="出口量&#10;必填"/>
    <x:tableColumn id="7" name="进口量&#10;必填"/>
    <x:tableColumn id="8" name="压榨量&#10;必填"/>
    <x:tableColumn id="9" name="国内消费量&#10;选填"/>
    <x:tableColumn id="10" name="期末库存&#10;选填"/>
    <x:tableColumn id="11" name="来源网址&#10;必填"/>
    <x:tableColumn id="12" name="备注&#10;选填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2大豆主产国年度" displayName="T02大豆主产国年度" ref="A4:M24" headerRowCount="1" totalsRowCount="0" totalsRowShown="0">
  <x:tableColumns count="13">
    <x:tableColumn id="1" name="营销年度&#10;必填"/>
    <x:tableColumn id="2" name="数据版本日期&#10;必填"/>
    <x:tableColumn id="3" name="国家&#10;必填"/>
    <x:tableColumn id="4" name="播种面积&#10;必填"/>
    <x:tableColumn id="5" name="收获面积&#10;选填"/>
    <x:tableColumn id="6" name="单产&#10;必填"/>
    <x:tableColumn id="7" name="产量&#10;必填"/>
    <x:tableColumn id="8" name="出口量&#10;选填"/>
    <x:tableColumn id="9" name="进口量&#10;选填"/>
    <x:tableColumn id="10" name="压榨量&#10;选填"/>
    <x:tableColumn id="11" name="期末库存&#10;选填"/>
    <x:tableColumn id="12" name="来源网址&#10;必填"/>
    <x:tableColumn id="13" name="备注&#10;选填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3中国进口月度" displayName="T03中国进口月度" ref="A4:G24" headerRowCount="1" totalsRowCount="0" totalsRowShown="0">
  <x:tableColumns count="7">
    <x:tableColumn id="1" name="月份&#10;必填"/>
    <x:tableColumn id="2" name="来源国&#10;必填"/>
    <x:tableColumn id="3" name="进口数量&#10;必填"/>
    <x:tableColumn id="4" name="进口金额&#10;选填"/>
    <x:tableColumn id="5" name="进口均价&#10;自动"/>
    <x:tableColumn id="6" name="来源网址&#10;必填"/>
    <x:tableColumn id="7" name="备注&#10;选填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4压榨库存月度" displayName="T04压榨库存月度" ref="A4:M24" headerRowCount="1" totalsRowCount="0" totalsRowShown="0">
  <x:tableColumns count="13">
    <x:tableColumn id="1" name="月份&#10;必填"/>
    <x:tableColumn id="2" name="区域&#10;必填"/>
    <x:tableColumn id="3" name="大豆到港量&#10;必填"/>
    <x:tableColumn id="4" name="大豆压榨量&#10;必填"/>
    <x:tableColumn id="5" name="平均开机率&#10;选填"/>
    <x:tableColumn id="6" name="港口大豆库存&#10;选填"/>
    <x:tableColumn id="7" name="油厂大豆库存&#10;必填"/>
    <x:tableColumn id="8" name="油厂豆粕库存&#10;必填"/>
    <x:tableColumn id="9" name="豆粕产量&#10;选填"/>
    <x:tableColumn id="10" name="豆粕未执行合同&#10;选填"/>
    <x:tableColumn id="11" name="来源机构&#10;必填"/>
    <x:tableColumn id="12" name="来源网址&#10;选填"/>
    <x:tableColumn id="13" name="备注&#10;选填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05饲料月度" displayName="T05饲料月度" ref="A4:H24" headerRowCount="1" totalsRowCount="0" totalsRowShown="0">
  <x:tableColumns count="8">
    <x:tableColumn id="1" name="月份&#10;必填"/>
    <x:tableColumn id="2" name="饲料品种&#10;必填"/>
    <x:tableColumn id="3" name="饲料产量&#10;必填"/>
    <x:tableColumn id="4" name="同比增速&#10;选填"/>
    <x:tableColumn id="5" name="豆粕添加率假设&#10;选填"/>
    <x:tableColumn id="6" name="估算豆粕需求&#10;自动"/>
    <x:tableColumn id="7" name="来源网址&#10;必填"/>
    <x:tableColumn id="8" name="备注&#10;选填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06养殖月度" displayName="T06养殖月度" ref="A4:J24" headerRowCount="1" totalsRowCount="0" totalsRowShown="0">
  <x:tableColumns count="10">
    <x:tableColumn id="1" name="月份&#10;必填"/>
    <x:tableColumn id="2" name="生猪存栏&#10;必填"/>
    <x:tableColumn id="3" name="能繁母猪存栏&#10;必填"/>
    <x:tableColumn id="4" name="生猪出栏/屠宰量&#10;选填"/>
    <x:tableColumn id="5" name="肉鸡存栏或补栏&#10;选填"/>
    <x:tableColumn id="6" name="蛋鸡存栏或补栏&#10;选填"/>
    <x:tableColumn id="7" name="水产养殖景气或投苗指数&#10;选填"/>
    <x:tableColumn id="8" name="来源机构&#10;必填"/>
    <x:tableColumn id="9" name="来源网址&#10;必填"/>
    <x:tableColumn id="10" name="备注&#10;选填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07价格基差月度" displayName="T07价格基差月度" ref="A4:M24" headerRowCount="1" totalsRowCount="0" totalsRowShown="0">
  <x:tableColumns count="13">
    <x:tableColumn id="1" name="月份&#10;必填"/>
    <x:tableColumn id="2" name="现货区域&#10;必填"/>
    <x:tableColumn id="3" name="豆粕期货月均价&#10;必填"/>
    <x:tableColumn id="4" name="豆粕期货月末价&#10;必填"/>
    <x:tableColumn id="5" name="豆粕现货月均价&#10;必填"/>
    <x:tableColumn id="6" name="月均基差&#10;自动"/>
    <x:tableColumn id="7" name="CBOT大豆月均价&#10;必填"/>
    <x:tableColumn id="8" name="豆油月均价&#10;选填"/>
    <x:tableColumn id="9" name="玉米月均价&#10;选填"/>
    <x:tableColumn id="10" name="美元兑人民币月均汇率&#10;必填"/>
    <x:tableColumn id="11" name="海运费月均值&#10;选填"/>
    <x:tableColumn id="12" name="来源网址&#10;必填"/>
    <x:tableColumn id="13" name="备注&#10;选填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08成本利润月度" displayName="T08成本利润月度" ref="A4:O24" headerRowCount="1" totalsRowCount="0" totalsRowShown="0">
  <x:tableColumns count="15">
    <x:tableColumn id="1" name="月份&#10;必填"/>
    <x:tableColumn id="2" name="大豆来源&#10;必填"/>
    <x:tableColumn id="3" name="大豆到岸完税成本&#10;必填"/>
    <x:tableColumn id="4" name="豆粕销售价格&#10;必填"/>
    <x:tableColumn id="5" name="豆油销售价格&#10;必填"/>
    <x:tableColumn id="6" name="豆粕得率&#10;必填"/>
    <x:tableColumn id="7" name="豆油得率&#10;必填"/>
    <x:tableColumn id="8" name="加工及其他成本&#10;必填"/>
    <x:tableColumn id="9" name="压榨收入&#10;自动"/>
    <x:tableColumn id="10" name="压榨利润&#10;自动"/>
    <x:tableColumn id="11" name="生猪养殖利润&#10;选填"/>
    <x:tableColumn id="12" name="肉鸡养殖利润&#10;选填"/>
    <x:tableColumn id="13" name="蛋鸡养殖利润&#10;选填"/>
    <x:tableColumn id="14" name="来源网址&#10;必填"/>
    <x:tableColumn id="15" name="备注&#10;选填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76d97913d6f04c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1f0a6c6f105a44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b40dc454f9e48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2ffe68aac7e648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21270ded302a40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59979c50996043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5cd097d8812044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94d158f030d4c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0" hidden="0" customWidth="1"/>
    <x:col min="4" max="4" width="31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豆粕研究数据采集模板｜月度与年度</x:v>
      </x:c>
      <x:c r="B1" s="3" t="str">
        <x:v>豆粕研究数据采集模板｜月度与年度</x:v>
      </x:c>
      <x:c r="C1" s="3" t="str">
        <x:v>豆粕研究数据采集模板｜月度与年度</x:v>
      </x:c>
      <x:c r="D1" s="3" t="str">
        <x:v>豆粕研究数据采集模板｜月度与年度</x:v>
      </x:c>
      <x:c r="E1" s="3" t="str">
        <x:v>豆粕研究数据采集模板｜月度与年度</x:v>
      </x:c>
      <x:c r="F1" s="3" t="str">
        <x:v>豆粕研究数据采集模板｜月度与年度</x:v>
      </x:c>
      <x:c r="G1" s="3" t="str">
        <x:v>豆粕研究数据采集模板｜月度与年度</x:v>
      </x:c>
      <x:c r="H1" s="3" t="str">
        <x:v>豆粕研究数据采集模板｜月度与年度</x:v>
      </x:c>
    </x:row>
    <x:row r="2">
      <x:c r="A2" s="3" t="str">
        <x:v>豆粕研究数据采集模板｜月度与年度</x:v>
      </x:c>
      <x:c r="B2" s="3" t="str">
        <x:v>豆粕研究数据采集模板｜月度与年度</x:v>
      </x:c>
      <x:c r="C2" s="3" t="str">
        <x:v>豆粕研究数据采集模板｜月度与年度</x:v>
      </x:c>
      <x:c r="D2" s="3" t="str">
        <x:v>豆粕研究数据采集模板｜月度与年度</x:v>
      </x:c>
      <x:c r="E2" s="3" t="str">
        <x:v>豆粕研究数据采集模板｜月度与年度</x:v>
      </x:c>
      <x:c r="F2" s="3" t="str">
        <x:v>豆粕研究数据采集模板｜月度与年度</x:v>
      </x:c>
      <x:c r="G2" s="3" t="str">
        <x:v>豆粕研究数据采集模板｜月度与年度</x:v>
      </x:c>
      <x:c r="H2" s="3" t="str">
        <x:v>豆粕研究数据采集模板｜月度与年度</x:v>
      </x:c>
    </x:row>
    <x:row r="4" ht="34" customHeight="1">
      <x:c r="A4" s="6" t="str">
        <x:v>规则</x:v>
      </x:c>
      <x:c r="B4" s="6" t="str">
        <x:v>要求</x:v>
      </x:c>
      <x:c r="C4" s="6" t="str">
        <x:v>原因</x:v>
      </x:c>
      <x:c r="D4" s="6" t="str"/>
      <x:c r="E4" s="6" t="str"/>
      <x:c r="F4" s="6" t="str"/>
      <x:c r="G4" s="6" t="str"/>
      <x:c r="H4" s="6" t="str"/>
    </x:row>
    <x:row r="5">
      <x:c r="A5" s="9" t="str">
        <x:v>日期</x:v>
      </x:c>
      <x:c r="B5" s="10" t="str">
        <x:v>月度数据统一填当月1日，例如2026-01-01，显示格式为yyyy-mm；年度数据使用营销年度YYYY/YY。</x:v>
      </x:c>
      <x:c r="C5" s="11" t="str">
        <x:v>便于排序、合并和作图</x:v>
      </x:c>
    </x:row>
    <x:row r="6">
      <x:c r="A6" s="12" t="str">
        <x:v>数值</x:v>
      </x:c>
      <x:c r="B6" s="13" t="str">
        <x:v>只填数字，不要在单元格里附加“万吨”“%”等文字；单位已写在字段名和字段字典中。</x:v>
      </x:c>
      <x:c r="C6" s="14" t="str">
        <x:v>保证可计算</x:v>
      </x:c>
    </x:row>
    <x:row r="7">
      <x:c r="A7" s="12" t="str">
        <x:v>百分比</x:v>
      </x:c>
      <x:c r="B7" s="13" t="str">
        <x:v>Excel中填15.2%或0.152，不要填15.2。</x:v>
      </x:c>
      <x:c r="C7" s="14" t="str">
        <x:v>避免放大100倍</x:v>
      </x:c>
    </x:row>
    <x:row r="8">
      <x:c r="A8" s="12" t="str">
        <x:v>缺失值</x:v>
      </x:c>
      <x:c r="B8" s="13" t="str">
        <x:v>没有数据时保持空白，不填0、不填“-”。</x:v>
      </x:c>
      <x:c r="C8" s="14" t="str">
        <x:v>0代表真实的零</x:v>
      </x:c>
    </x:row>
    <x:row r="9">
      <x:c r="A9" s="12" t="str">
        <x:v>来源</x:v>
      </x:c>
      <x:c r="B9" s="13" t="str">
        <x:v>每行保留来源网址；付费终端数据可填终端名称和发布日期。</x:v>
      </x:c>
      <x:c r="C9" s="14" t="str">
        <x:v>保证可追溯</x:v>
      </x:c>
    </x:row>
    <x:row r="10">
      <x:c r="A10" s="12" t="str">
        <x:v>版本</x:v>
      </x:c>
      <x:c r="B10" s="13" t="str">
        <x:v>USDA等预测会修订，同一营销年度不同版本不得覆盖；用version_date区分。</x:v>
      </x:c>
      <x:c r="C10" s="14" t="str">
        <x:v>保留预测变化</x:v>
      </x:c>
    </x:row>
    <x:row r="11">
      <x:c r="A11" s="12" t="str">
        <x:v>月度汇总</x:v>
      </x:c>
      <x:c r="B11" s="13" t="str">
        <x:v>价格填月均及月末；库存填月末；进口/压榨/产量填月度合计。</x:v>
      </x:c>
      <x:c r="C11" s="14" t="str">
        <x:v>统一统计口径</x:v>
      </x:c>
    </x:row>
    <x:row r="12">
      <x:c r="A12" s="15" t="str">
        <x:v>颜色</x:v>
      </x:c>
      <x:c r="B12" s="16" t="str">
        <x:v>浅黄色和蓝字为需要采集填写；浅绿色为公式自动计算。</x:v>
      </x:c>
      <x:c r="C12" s="17" t="str">
        <x:v>降低误填风险</x:v>
      </x:c>
    </x:row>
    <x:row r="14" ht="34" customHeight="1">
      <x:c r="A14" s="6" t="str">
        <x:v>工作表</x:v>
      </x:c>
      <x:c r="B14" s="6" t="str">
        <x:v>频率</x:v>
      </x:c>
      <x:c r="C14" s="6" t="str">
        <x:v>采集内容</x:v>
      </x:c>
      <x:c r="D14" s="6" t="str">
        <x:v>首选来源</x:v>
      </x:c>
      <x:c r="E14" s="6" t="str">
        <x:v>必须先采</x:v>
      </x:c>
      <x:c r="F14" s="6" t="str">
        <x:v>输出用途</x:v>
      </x:c>
      <x:c r="G14" s="6" t="str"/>
      <x:c r="H14" s="6" t="str"/>
    </x:row>
    <x:row r="15">
      <x:c r="A15" s="19" t="str">
        <x:v>01全球油籽年度</x:v>
      </x:c>
      <x:c r="B15" s="20" t="str">
        <x:v>年度</x:v>
      </x:c>
      <x:c r="C15" s="20" t="str">
        <x:v>全球油籽供需</x:v>
      </x:c>
      <x:c r="D15" s="20" t="str">
        <x:v>USDA PSD</x:v>
      </x:c>
      <x:c r="E15" s="20" t="str">
        <x:v>是</x:v>
      </x:c>
      <x:c r="F15" s="20" t="str">
        <x:v>全球油料分布</x:v>
      </x:c>
      <x:c r="G15" s="20" t="str"/>
      <x:c r="H15" s="21" t="str"/>
    </x:row>
    <x:row r="16">
      <x:c r="A16" s="22" t="str">
        <x:v>02大豆主产国年度</x:v>
      </x:c>
      <x:c r="B16" s="23" t="str">
        <x:v>年度</x:v>
      </x:c>
      <x:c r="C16" s="23" t="str">
        <x:v>大豆主产国生产与平衡</x:v>
      </x:c>
      <x:c r="D16" s="23" t="str">
        <x:v>USDA PSD、USDA NASS、CONAB、阿根廷农业部</x:v>
      </x:c>
      <x:c r="E16" s="23" t="str">
        <x:v>是</x:v>
      </x:c>
      <x:c r="F16" s="23" t="str">
        <x:v>主产国面积、单产和产量</x:v>
      </x:c>
      <x:c r="G16" s="23" t="str"/>
      <x:c r="H16" s="24" t="str"/>
    </x:row>
    <x:row r="17">
      <x:c r="A17" s="22" t="str">
        <x:v>03中国进口月度</x:v>
      </x:c>
      <x:c r="B17" s="23" t="str">
        <x:v>月度</x:v>
      </x:c>
      <x:c r="C17" s="23" t="str">
        <x:v>中国大豆进口</x:v>
      </x:c>
      <x:c r="D17" s="23" t="str">
        <x:v>海关总署</x:v>
      </x:c>
      <x:c r="E17" s="23" t="str">
        <x:v>是</x:v>
      </x:c>
      <x:c r="F17" s="23" t="str">
        <x:v>中国进口需求</x:v>
      </x:c>
      <x:c r="G17" s="23" t="str"/>
      <x:c r="H17" s="24" t="str"/>
    </x:row>
    <x:row r="18">
      <x:c r="A18" s="22" t="str">
        <x:v>04压榨库存月度</x:v>
      </x:c>
      <x:c r="B18" s="23" t="str">
        <x:v>月度</x:v>
      </x:c>
      <x:c r="C18" s="23" t="str">
        <x:v>中国压榨与库存</x:v>
      </x:c>
      <x:c r="D18" s="23" t="str">
        <x:v>行业资讯、粮油信息中心、港口及油厂样本</x:v>
      </x:c>
      <x:c r="E18" s="23" t="str">
        <x:v>是</x:v>
      </x:c>
      <x:c r="F18" s="23" t="str">
        <x:v>国内豆粕供给与库存</x:v>
      </x:c>
      <x:c r="G18" s="23" t="str"/>
      <x:c r="H18" s="24" t="str"/>
    </x:row>
    <x:row r="19">
      <x:c r="A19" s="22" t="str">
        <x:v>05饲料月度</x:v>
      </x:c>
      <x:c r="B19" s="23" t="str">
        <x:v>月度</x:v>
      </x:c>
      <x:c r="C19" s="23" t="str">
        <x:v>饲料产量与结构</x:v>
      </x:c>
      <x:c r="D19" s="23" t="str">
        <x:v>中国饲料工业协会</x:v>
      </x:c>
      <x:c r="E19" s="23" t="str">
        <x:v>是</x:v>
      </x:c>
      <x:c r="F19" s="23" t="str">
        <x:v>豆粕需求预测</x:v>
      </x:c>
      <x:c r="G19" s="23" t="str"/>
      <x:c r="H19" s="24" t="str"/>
    </x:row>
    <x:row r="20">
      <x:c r="A20" s="22" t="str">
        <x:v>06养殖月度</x:v>
      </x:c>
      <x:c r="B20" s="23" t="str">
        <x:v>月度（季度数据也统一落在季度末月份）</x:v>
      </x:c>
      <x:c r="C20" s="23" t="str">
        <x:v>养殖存栏与供给指标</x:v>
      </x:c>
      <x:c r="D20" s="23" t="str">
        <x:v>国家统计局、农业农村部、行业资料</x:v>
      </x:c>
      <x:c r="E20" s="23" t="str">
        <x:v>是</x:v>
      </x:c>
      <x:c r="F20" s="23" t="str">
        <x:v>豆粕需求预测</x:v>
      </x:c>
      <x:c r="G20" s="23" t="str"/>
      <x:c r="H20" s="24" t="str"/>
    </x:row>
    <x:row r="21">
      <x:c r="A21" s="22" t="str">
        <x:v>07价格基差月度</x:v>
      </x:c>
      <x:c r="B21" s="23" t="str">
        <x:v>月度</x:v>
      </x:c>
      <x:c r="C21" s="23" t="str">
        <x:v>价格、基差与相关市场</x:v>
      </x:c>
      <x:c r="D21" s="23" t="str">
        <x:v>DCE、CME、现货报价、外汇及运费数据</x:v>
      </x:c>
      <x:c r="E21" s="23" t="str">
        <x:v>是</x:v>
      </x:c>
      <x:c r="F21" s="23" t="str">
        <x:v>基差、季节性与价格强弱</x:v>
      </x:c>
      <x:c r="G21" s="23" t="str"/>
      <x:c r="H21" s="24" t="str"/>
    </x:row>
    <x:row r="22">
      <x:c r="A22" s="25" t="str">
        <x:v>08成本利润月度</x:v>
      </x:c>
      <x:c r="B22" s="26" t="str">
        <x:v>月度</x:v>
      </x:c>
      <x:c r="C22" s="26" t="str">
        <x:v>进口成本、压榨利润与养殖利润</x:v>
      </x:c>
      <x:c r="D22" s="26" t="str">
        <x:v>由进口、价格与行业数据计算</x:v>
      </x:c>
      <x:c r="E22" s="26" t="str">
        <x:v>否</x:v>
      </x:c>
      <x:c r="F22" s="26" t="str">
        <x:v>成本与利润</x:v>
      </x:c>
      <x:c r="G22" s="26" t="str"/>
      <x:c r="H22" s="27" t="str"/>
    </x:row>
  </x:sheetData>
  <x:mergeCells>
    <x:mergeCell ref="A1:H2"/>
    <x:mergeCell ref="C4:H4"/>
    <x:mergeCell ref="F14:H14"/>
  </x:mergeCells>
  <x:conditionalFormatting sqref="E15:E22">
    <x:cfRule type="containsText" dxfId="0" priority="1" operator="containsText" text="是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23" hidden="0" customWidth="1"/>
    <x:col min="4" max="4" width="13" hidden="0" customWidth="1"/>
    <x:col min="5" max="5" width="34" hidden="0" customWidth="1"/>
    <x:col min="6" max="6" width="13" hidden="0" customWidth="1"/>
    <x:col min="7" max="7" width="19" hidden="0" customWidth="1"/>
    <x:col min="8" max="8" width="13" hidden="0" customWidth="1"/>
    <x:col min="9" max="9" width="42" hidden="0" customWidth="1"/>
  </x:cols>
  <x:sheetData>
    <x:row r="1">
      <x:c r="A1" s="3" t="str">
        <x:v>字段字典｜数据格式、单位与必填要求</x:v>
      </x:c>
      <x:c r="B1" s="3" t="str">
        <x:v>字段字典｜数据格式、单位与必填要求</x:v>
      </x:c>
      <x:c r="C1" s="3" t="str">
        <x:v>字段字典｜数据格式、单位与必填要求</x:v>
      </x:c>
      <x:c r="D1" s="3" t="str">
        <x:v>字段字典｜数据格式、单位与必填要求</x:v>
      </x:c>
      <x:c r="E1" s="3" t="str">
        <x:v>字段字典｜数据格式、单位与必填要求</x:v>
      </x:c>
      <x:c r="F1" s="3" t="str">
        <x:v>字段字典｜数据格式、单位与必填要求</x:v>
      </x:c>
      <x:c r="G1" s="3" t="str">
        <x:v>字段字典｜数据格式、单位与必填要求</x:v>
      </x:c>
      <x:c r="H1" s="3" t="str">
        <x:v>字段字典｜数据格式、单位与必填要求</x:v>
      </x:c>
      <x:c r="I1" s="3" t="str">
        <x:v>字段字典｜数据格式、单位与必填要求</x:v>
      </x:c>
    </x:row>
    <x:row r="2">
      <x:c r="A2" s="3" t="str">
        <x:v>字段字典｜数据格式、单位与必填要求</x:v>
      </x:c>
      <x:c r="B2" s="3" t="str">
        <x:v>字段字典｜数据格式、单位与必填要求</x:v>
      </x:c>
      <x:c r="C2" s="3" t="str">
        <x:v>字段字典｜数据格式、单位与必填要求</x:v>
      </x:c>
      <x:c r="D2" s="3" t="str">
        <x:v>字段字典｜数据格式、单位与必填要求</x:v>
      </x:c>
      <x:c r="E2" s="3" t="str">
        <x:v>字段字典｜数据格式、单位与必填要求</x:v>
      </x:c>
      <x:c r="F2" s="3" t="str">
        <x:v>字段字典｜数据格式、单位与必填要求</x:v>
      </x:c>
      <x:c r="G2" s="3" t="str">
        <x:v>字段字典｜数据格式、单位与必填要求</x:v>
      </x:c>
      <x:c r="H2" s="3" t="str">
        <x:v>字段字典｜数据格式、单位与必填要求</x:v>
      </x:c>
      <x:c r="I2" s="3" t="str">
        <x:v>字段字典｜数据格式、单位与必填要求</x:v>
      </x:c>
    </x:row>
    <x:row r="4" ht="34" customHeight="1">
      <x:c r="A4" s="6" t="str">
        <x:v>工作表</x:v>
      </x:c>
      <x:c r="B4" s="6" t="str">
        <x:v>字段名</x:v>
      </x:c>
      <x:c r="C4" s="6" t="str">
        <x:v>中文名称</x:v>
      </x:c>
      <x:c r="D4" s="6" t="str">
        <x:v>数据类型</x:v>
      </x:c>
      <x:c r="E4" s="6" t="str">
        <x:v>格式/单位</x:v>
      </x:c>
      <x:c r="F4" s="6" t="str">
        <x:v>是否必填</x:v>
      </x:c>
      <x:c r="G4" s="6" t="str">
        <x:v>频率</x:v>
      </x:c>
      <x:c r="H4" s="6" t="str">
        <x:v>原始/公式</x:v>
      </x:c>
      <x:c r="I4" s="6" t="str">
        <x:v>说明</x:v>
      </x:c>
    </x:row>
    <x:row r="5">
      <x:c r="A5" s="29" t="str">
        <x:v>01全球油籽年度</x:v>
      </x:c>
      <x:c r="B5" s="29" t="str">
        <x:v>marketing_year</x:v>
      </x:c>
      <x:c r="C5" s="29" t="str">
        <x:v>营销年度</x:v>
      </x:c>
      <x:c r="D5" s="29" t="str">
        <x:v>文本</x:v>
      </x:c>
      <x:c r="E5" s="29" t="str">
        <x:v>YYYY/YY，例如2025/26</x:v>
      </x:c>
      <x:c r="F5" s="29" t="str">
        <x:v>必填</x:v>
      </x:c>
      <x:c r="G5" s="29" t="str">
        <x:v>年度</x:v>
      </x:c>
      <x:c r="H5" s="29" t="str">
        <x:v>原始</x:v>
      </x:c>
      <x:c r="I5" s="29" t="str">
        <x:v>全球油籽供需｜年度/营销年度</x:v>
      </x:c>
    </x:row>
    <x:row r="6">
      <x:c r="A6" s="30" t="str">
        <x:v>01全球油籽年度</x:v>
      </x:c>
      <x:c r="B6" s="30" t="str">
        <x:v>version_date</x:v>
      </x:c>
      <x:c r="C6" s="30" t="str">
        <x:v>数据版本日期</x:v>
      </x:c>
      <x:c r="D6" s="30" t="str">
        <x:v>日期</x:v>
      </x:c>
      <x:c r="E6" s="30" t="str">
        <x:v>yyyy-mm-dd</x:v>
      </x:c>
      <x:c r="F6" s="30" t="str">
        <x:v>必填</x:v>
      </x:c>
      <x:c r="G6" s="30" t="str">
        <x:v>年度</x:v>
      </x:c>
      <x:c r="H6" s="30" t="str">
        <x:v>原始</x:v>
      </x:c>
      <x:c r="I6" s="30" t="str">
        <x:v>全球油籽供需｜年度/营销年度</x:v>
      </x:c>
    </x:row>
    <x:row r="7">
      <x:c r="A7" s="30" t="str">
        <x:v>01全球油籽年度</x:v>
      </x:c>
      <x:c r="B7" s="30" t="str">
        <x:v>commodity</x:v>
      </x:c>
      <x:c r="C7" s="30" t="str">
        <x:v>油籽品种</x:v>
      </x:c>
      <x:c r="D7" s="30" t="str">
        <x:v>文本</x:v>
      </x:c>
      <x:c r="E7" s="30" t="str">
        <x:v>大豆/菜籽/葵花籽/棉籽/花生/椰肉干/棕榈仁</x:v>
      </x:c>
      <x:c r="F7" s="30" t="str">
        <x:v>必填</x:v>
      </x:c>
      <x:c r="G7" s="30" t="str">
        <x:v>年度</x:v>
      </x:c>
      <x:c r="H7" s="30" t="str">
        <x:v>原始</x:v>
      </x:c>
      <x:c r="I7" s="30" t="str">
        <x:v>全球油籽供需｜年度/营销年度</x:v>
      </x:c>
    </x:row>
    <x:row r="8">
      <x:c r="A8" s="30" t="str">
        <x:v>01全球油籽年度</x:v>
      </x:c>
      <x:c r="B8" s="30" t="str">
        <x:v>country_region</x:v>
      </x:c>
      <x:c r="C8" s="30" t="str">
        <x:v>国家或地区</x:v>
      </x:c>
      <x:c r="D8" s="30" t="str">
        <x:v>文本</x:v>
      </x:c>
      <x:c r="E8" s="30" t="str">
        <x:v>World或国家名</x:v>
      </x:c>
      <x:c r="F8" s="30" t="str">
        <x:v>必填</x:v>
      </x:c>
      <x:c r="G8" s="30" t="str">
        <x:v>年度</x:v>
      </x:c>
      <x:c r="H8" s="30" t="str">
        <x:v>原始</x:v>
      </x:c>
      <x:c r="I8" s="30" t="str">
        <x:v>全球油籽供需｜年度/营销年度</x:v>
      </x:c>
    </x:row>
    <x:row r="9">
      <x:c r="A9" s="30" t="str">
        <x:v>01全球油籽年度</x:v>
      </x:c>
      <x:c r="B9" s="30" t="str">
        <x:v>production_kt</x:v>
      </x:c>
      <x:c r="C9" s="30" t="str">
        <x:v>产量</x:v>
      </x:c>
      <x:c r="D9" s="30" t="str">
        <x:v>数值</x:v>
      </x:c>
      <x:c r="E9" s="30" t="str">
        <x:v>千吨</x:v>
      </x:c>
      <x:c r="F9" s="30" t="str">
        <x:v>必填</x:v>
      </x:c>
      <x:c r="G9" s="30" t="str">
        <x:v>年度</x:v>
      </x:c>
      <x:c r="H9" s="30" t="str">
        <x:v>原始</x:v>
      </x:c>
      <x:c r="I9" s="30" t="str">
        <x:v>全球油籽供需｜年度/营销年度</x:v>
      </x:c>
    </x:row>
    <x:row r="10">
      <x:c r="A10" s="30" t="str">
        <x:v>01全球油籽年度</x:v>
      </x:c>
      <x:c r="B10" s="30" t="str">
        <x:v>exports_kt</x:v>
      </x:c>
      <x:c r="C10" s="30" t="str">
        <x:v>出口量</x:v>
      </x:c>
      <x:c r="D10" s="30" t="str">
        <x:v>数值</x:v>
      </x:c>
      <x:c r="E10" s="30" t="str">
        <x:v>千吨</x:v>
      </x:c>
      <x:c r="F10" s="30" t="str">
        <x:v>必填</x:v>
      </x:c>
      <x:c r="G10" s="30" t="str">
        <x:v>年度</x:v>
      </x:c>
      <x:c r="H10" s="30" t="str">
        <x:v>原始</x:v>
      </x:c>
      <x:c r="I10" s="30" t="str">
        <x:v>全球油籽供需｜年度/营销年度</x:v>
      </x:c>
    </x:row>
    <x:row r="11">
      <x:c r="A11" s="30" t="str">
        <x:v>01全球油籽年度</x:v>
      </x:c>
      <x:c r="B11" s="30" t="str">
        <x:v>imports_kt</x:v>
      </x:c>
      <x:c r="C11" s="30" t="str">
        <x:v>进口量</x:v>
      </x:c>
      <x:c r="D11" s="30" t="str">
        <x:v>数值</x:v>
      </x:c>
      <x:c r="E11" s="30" t="str">
        <x:v>千吨</x:v>
      </x:c>
      <x:c r="F11" s="30" t="str">
        <x:v>必填</x:v>
      </x:c>
      <x:c r="G11" s="30" t="str">
        <x:v>年度</x:v>
      </x:c>
      <x:c r="H11" s="30" t="str">
        <x:v>原始</x:v>
      </x:c>
      <x:c r="I11" s="30" t="str">
        <x:v>全球油籽供需｜年度/营销年度</x:v>
      </x:c>
    </x:row>
    <x:row r="12">
      <x:c r="A12" s="30" t="str">
        <x:v>01全球油籽年度</x:v>
      </x:c>
      <x:c r="B12" s="30" t="str">
        <x:v>crush_kt</x:v>
      </x:c>
      <x:c r="C12" s="30" t="str">
        <x:v>压榨量</x:v>
      </x:c>
      <x:c r="D12" s="30" t="str">
        <x:v>数值</x:v>
      </x:c>
      <x:c r="E12" s="30" t="str">
        <x:v>千吨</x:v>
      </x:c>
      <x:c r="F12" s="30" t="str">
        <x:v>必填</x:v>
      </x:c>
      <x:c r="G12" s="30" t="str">
        <x:v>年度</x:v>
      </x:c>
      <x:c r="H12" s="30" t="str">
        <x:v>原始</x:v>
      </x:c>
      <x:c r="I12" s="30" t="str">
        <x:v>全球油籽供需｜年度/营销年度</x:v>
      </x:c>
    </x:row>
    <x:row r="13">
      <x:c r="A13" s="30" t="str">
        <x:v>01全球油籽年度</x:v>
      </x:c>
      <x:c r="B13" s="30" t="str">
        <x:v>domestic_use_kt</x:v>
      </x:c>
      <x:c r="C13" s="30" t="str">
        <x:v>国内消费量</x:v>
      </x:c>
      <x:c r="D13" s="30" t="str">
        <x:v>数值</x:v>
      </x:c>
      <x:c r="E13" s="30" t="str">
        <x:v>千吨</x:v>
      </x:c>
      <x:c r="F13" s="30" t="str">
        <x:v>选填</x:v>
      </x:c>
      <x:c r="G13" s="30" t="str">
        <x:v>年度</x:v>
      </x:c>
      <x:c r="H13" s="30" t="str">
        <x:v>原始</x:v>
      </x:c>
      <x:c r="I13" s="30" t="str">
        <x:v>全球油籽供需｜年度/营销年度</x:v>
      </x:c>
    </x:row>
    <x:row r="14">
      <x:c r="A14" s="30" t="str">
        <x:v>01全球油籽年度</x:v>
      </x:c>
      <x:c r="B14" s="30" t="str">
        <x:v>ending_stocks_kt</x:v>
      </x:c>
      <x:c r="C14" s="30" t="str">
        <x:v>期末库存</x:v>
      </x:c>
      <x:c r="D14" s="30" t="str">
        <x:v>数值</x:v>
      </x:c>
      <x:c r="E14" s="30" t="str">
        <x:v>千吨</x:v>
      </x:c>
      <x:c r="F14" s="30" t="str">
        <x:v>选填</x:v>
      </x:c>
      <x:c r="G14" s="30" t="str">
        <x:v>年度</x:v>
      </x:c>
      <x:c r="H14" s="30" t="str">
        <x:v>原始</x:v>
      </x:c>
      <x:c r="I14" s="30" t="str">
        <x:v>全球油籽供需｜年度/营销年度</x:v>
      </x:c>
    </x:row>
    <x:row r="15">
      <x:c r="A15" s="30" t="str">
        <x:v>01全球油籽年度</x:v>
      </x:c>
      <x:c r="B15" s="30" t="str">
        <x:v>source_url</x:v>
      </x:c>
      <x:c r="C15" s="30" t="str">
        <x:v>来源网址</x:v>
      </x:c>
      <x:c r="D15" s="30" t="str">
        <x:v>文本</x:v>
      </x:c>
      <x:c r="E15" s="30" t="str">
        <x:v>完整URL</x:v>
      </x:c>
      <x:c r="F15" s="30" t="str">
        <x:v>必填</x:v>
      </x:c>
      <x:c r="G15" s="30" t="str">
        <x:v>年度</x:v>
      </x:c>
      <x:c r="H15" s="30" t="str">
        <x:v>原始</x:v>
      </x:c>
      <x:c r="I15" s="30" t="str">
        <x:v>全球油籽供需｜年度/营销年度</x:v>
      </x:c>
    </x:row>
    <x:row r="16">
      <x:c r="A16" s="30" t="str">
        <x:v>01全球油籽年度</x:v>
      </x:c>
      <x:c r="B16" s="30" t="str">
        <x:v>note</x:v>
      </x:c>
      <x:c r="C16" s="30" t="str">
        <x:v>备注</x:v>
      </x:c>
      <x:c r="D16" s="30" t="str">
        <x:v>文本</x:v>
      </x:c>
      <x:c r="E16" s="30" t="str">
        <x:v>口径变化、预测/估计说明</x:v>
      </x:c>
      <x:c r="F16" s="30" t="str">
        <x:v>选填</x:v>
      </x:c>
      <x:c r="G16" s="30" t="str">
        <x:v>年度</x:v>
      </x:c>
      <x:c r="H16" s="30" t="str">
        <x:v>原始</x:v>
      </x:c>
      <x:c r="I16" s="30" t="str">
        <x:v>全球油籽供需｜年度/营销年度</x:v>
      </x:c>
    </x:row>
    <x:row r="17">
      <x:c r="A17" s="30" t="str">
        <x:v>02大豆主产国年度</x:v>
      </x:c>
      <x:c r="B17" s="30" t="str">
        <x:v>marketing_year</x:v>
      </x:c>
      <x:c r="C17" s="30" t="str">
        <x:v>营销年度</x:v>
      </x:c>
      <x:c r="D17" s="30" t="str">
        <x:v>文本</x:v>
      </x:c>
      <x:c r="E17" s="30" t="str">
        <x:v>YYYY/YY</x:v>
      </x:c>
      <x:c r="F17" s="30" t="str">
        <x:v>必填</x:v>
      </x:c>
      <x:c r="G17" s="30" t="str">
        <x:v>年度</x:v>
      </x:c>
      <x:c r="H17" s="30" t="str">
        <x:v>原始</x:v>
      </x:c>
      <x:c r="I17" s="30" t="str">
        <x:v>大豆主产国生产与平衡｜年度/营销年度</x:v>
      </x:c>
    </x:row>
    <x:row r="18">
      <x:c r="A18" s="30" t="str">
        <x:v>02大豆主产国年度</x:v>
      </x:c>
      <x:c r="B18" s="30" t="str">
        <x:v>version_date</x:v>
      </x:c>
      <x:c r="C18" s="30" t="str">
        <x:v>数据版本日期</x:v>
      </x:c>
      <x:c r="D18" s="30" t="str">
        <x:v>日期</x:v>
      </x:c>
      <x:c r="E18" s="30" t="str">
        <x:v>yyyy-mm-dd</x:v>
      </x:c>
      <x:c r="F18" s="30" t="str">
        <x:v>必填</x:v>
      </x:c>
      <x:c r="G18" s="30" t="str">
        <x:v>年度</x:v>
      </x:c>
      <x:c r="H18" s="30" t="str">
        <x:v>原始</x:v>
      </x:c>
      <x:c r="I18" s="30" t="str">
        <x:v>大豆主产国生产与平衡｜年度/营销年度</x:v>
      </x:c>
    </x:row>
    <x:row r="19">
      <x:c r="A19" s="30" t="str">
        <x:v>02大豆主产国年度</x:v>
      </x:c>
      <x:c r="B19" s="30" t="str">
        <x:v>country</x:v>
      </x:c>
      <x:c r="C19" s="30" t="str">
        <x:v>国家</x:v>
      </x:c>
      <x:c r="D19" s="30" t="str">
        <x:v>文本</x:v>
      </x:c>
      <x:c r="E19" s="30" t="str">
        <x:v>美国/巴西/阿根廷/中国/其他</x:v>
      </x:c>
      <x:c r="F19" s="30" t="str">
        <x:v>必填</x:v>
      </x:c>
      <x:c r="G19" s="30" t="str">
        <x:v>年度</x:v>
      </x:c>
      <x:c r="H19" s="30" t="str">
        <x:v>原始</x:v>
      </x:c>
      <x:c r="I19" s="30" t="str">
        <x:v>大豆主产国生产与平衡｜年度/营销年度</x:v>
      </x:c>
    </x:row>
    <x:row r="20">
      <x:c r="A20" s="30" t="str">
        <x:v>02大豆主产国年度</x:v>
      </x:c>
      <x:c r="B20" s="30" t="str">
        <x:v>planted_area_kha</x:v>
      </x:c>
      <x:c r="C20" s="30" t="str">
        <x:v>播种面积</x:v>
      </x:c>
      <x:c r="D20" s="30" t="str">
        <x:v>数值</x:v>
      </x:c>
      <x:c r="E20" s="30" t="str">
        <x:v>千公顷</x:v>
      </x:c>
      <x:c r="F20" s="30" t="str">
        <x:v>必填</x:v>
      </x:c>
      <x:c r="G20" s="30" t="str">
        <x:v>年度</x:v>
      </x:c>
      <x:c r="H20" s="30" t="str">
        <x:v>原始</x:v>
      </x:c>
      <x:c r="I20" s="30" t="str">
        <x:v>大豆主产国生产与平衡｜年度/营销年度</x:v>
      </x:c>
    </x:row>
    <x:row r="21">
      <x:c r="A21" s="30" t="str">
        <x:v>02大豆主产国年度</x:v>
      </x:c>
      <x:c r="B21" s="30" t="str">
        <x:v>harvested_area_kha</x:v>
      </x:c>
      <x:c r="C21" s="30" t="str">
        <x:v>收获面积</x:v>
      </x:c>
      <x:c r="D21" s="30" t="str">
        <x:v>数值</x:v>
      </x:c>
      <x:c r="E21" s="30" t="str">
        <x:v>千公顷</x:v>
      </x:c>
      <x:c r="F21" s="30" t="str">
        <x:v>选填</x:v>
      </x:c>
      <x:c r="G21" s="30" t="str">
        <x:v>年度</x:v>
      </x:c>
      <x:c r="H21" s="30" t="str">
        <x:v>原始</x:v>
      </x:c>
      <x:c r="I21" s="30" t="str">
        <x:v>大豆主产国生产与平衡｜年度/营销年度</x:v>
      </x:c>
    </x:row>
    <x:row r="22">
      <x:c r="A22" s="30" t="str">
        <x:v>02大豆主产国年度</x:v>
      </x:c>
      <x:c r="B22" s="30" t="str">
        <x:v>yield_t_ha</x:v>
      </x:c>
      <x:c r="C22" s="30" t="str">
        <x:v>单产</x:v>
      </x:c>
      <x:c r="D22" s="30" t="str">
        <x:v>数值</x:v>
      </x:c>
      <x:c r="E22" s="30" t="str">
        <x:v>吨/公顷</x:v>
      </x:c>
      <x:c r="F22" s="30" t="str">
        <x:v>必填</x:v>
      </x:c>
      <x:c r="G22" s="30" t="str">
        <x:v>年度</x:v>
      </x:c>
      <x:c r="H22" s="30" t="str">
        <x:v>原始</x:v>
      </x:c>
      <x:c r="I22" s="30" t="str">
        <x:v>大豆主产国生产与平衡｜年度/营销年度</x:v>
      </x:c>
    </x:row>
    <x:row r="23">
      <x:c r="A23" s="30" t="str">
        <x:v>02大豆主产国年度</x:v>
      </x:c>
      <x:c r="B23" s="30" t="str">
        <x:v>production_kt</x:v>
      </x:c>
      <x:c r="C23" s="30" t="str">
        <x:v>产量</x:v>
      </x:c>
      <x:c r="D23" s="30" t="str">
        <x:v>数值</x:v>
      </x:c>
      <x:c r="E23" s="30" t="str">
        <x:v>千吨</x:v>
      </x:c>
      <x:c r="F23" s="30" t="str">
        <x:v>必填</x:v>
      </x:c>
      <x:c r="G23" s="30" t="str">
        <x:v>年度</x:v>
      </x:c>
      <x:c r="H23" s="30" t="str">
        <x:v>原始</x:v>
      </x:c>
      <x:c r="I23" s="30" t="str">
        <x:v>大豆主产国生产与平衡｜年度/营销年度</x:v>
      </x:c>
    </x:row>
    <x:row r="24">
      <x:c r="A24" s="30" t="str">
        <x:v>02大豆主产国年度</x:v>
      </x:c>
      <x:c r="B24" s="30" t="str">
        <x:v>exports_kt</x:v>
      </x:c>
      <x:c r="C24" s="30" t="str">
        <x:v>出口量</x:v>
      </x:c>
      <x:c r="D24" s="30" t="str">
        <x:v>数值</x:v>
      </x:c>
      <x:c r="E24" s="30" t="str">
        <x:v>千吨</x:v>
      </x:c>
      <x:c r="F24" s="30" t="str">
        <x:v>选填</x:v>
      </x:c>
      <x:c r="G24" s="30" t="str">
        <x:v>年度</x:v>
      </x:c>
      <x:c r="H24" s="30" t="str">
        <x:v>原始</x:v>
      </x:c>
      <x:c r="I24" s="30" t="str">
        <x:v>大豆主产国生产与平衡｜年度/营销年度</x:v>
      </x:c>
    </x:row>
    <x:row r="25">
      <x:c r="A25" s="30" t="str">
        <x:v>02大豆主产国年度</x:v>
      </x:c>
      <x:c r="B25" s="30" t="str">
        <x:v>imports_kt</x:v>
      </x:c>
      <x:c r="C25" s="30" t="str">
        <x:v>进口量</x:v>
      </x:c>
      <x:c r="D25" s="30" t="str">
        <x:v>数值</x:v>
      </x:c>
      <x:c r="E25" s="30" t="str">
        <x:v>千吨</x:v>
      </x:c>
      <x:c r="F25" s="30" t="str">
        <x:v>选填</x:v>
      </x:c>
      <x:c r="G25" s="30" t="str">
        <x:v>年度</x:v>
      </x:c>
      <x:c r="H25" s="30" t="str">
        <x:v>原始</x:v>
      </x:c>
      <x:c r="I25" s="30" t="str">
        <x:v>大豆主产国生产与平衡｜年度/营销年度</x:v>
      </x:c>
    </x:row>
    <x:row r="26">
      <x:c r="A26" s="30" t="str">
        <x:v>02大豆主产国年度</x:v>
      </x:c>
      <x:c r="B26" s="30" t="str">
        <x:v>crush_kt</x:v>
      </x:c>
      <x:c r="C26" s="30" t="str">
        <x:v>压榨量</x:v>
      </x:c>
      <x:c r="D26" s="30" t="str">
        <x:v>数值</x:v>
      </x:c>
      <x:c r="E26" s="30" t="str">
        <x:v>千吨</x:v>
      </x:c>
      <x:c r="F26" s="30" t="str">
        <x:v>选填</x:v>
      </x:c>
      <x:c r="G26" s="30" t="str">
        <x:v>年度</x:v>
      </x:c>
      <x:c r="H26" s="30" t="str">
        <x:v>原始</x:v>
      </x:c>
      <x:c r="I26" s="30" t="str">
        <x:v>大豆主产国生产与平衡｜年度/营销年度</x:v>
      </x:c>
    </x:row>
    <x:row r="27">
      <x:c r="A27" s="30" t="str">
        <x:v>02大豆主产国年度</x:v>
      </x:c>
      <x:c r="B27" s="30" t="str">
        <x:v>ending_stocks_kt</x:v>
      </x:c>
      <x:c r="C27" s="30" t="str">
        <x:v>期末库存</x:v>
      </x:c>
      <x:c r="D27" s="30" t="str">
        <x:v>数值</x:v>
      </x:c>
      <x:c r="E27" s="30" t="str">
        <x:v>千吨</x:v>
      </x:c>
      <x:c r="F27" s="30" t="str">
        <x:v>选填</x:v>
      </x:c>
      <x:c r="G27" s="30" t="str">
        <x:v>年度</x:v>
      </x:c>
      <x:c r="H27" s="30" t="str">
        <x:v>原始</x:v>
      </x:c>
      <x:c r="I27" s="30" t="str">
        <x:v>大豆主产国生产与平衡｜年度/营销年度</x:v>
      </x:c>
    </x:row>
    <x:row r="28">
      <x:c r="A28" s="30" t="str">
        <x:v>02大豆主产国年度</x:v>
      </x:c>
      <x:c r="B28" s="30" t="str">
        <x:v>source_url</x:v>
      </x:c>
      <x:c r="C28" s="30" t="str">
        <x:v>来源网址</x:v>
      </x:c>
      <x:c r="D28" s="30" t="str">
        <x:v>文本</x:v>
      </x:c>
      <x:c r="E28" s="30" t="str">
        <x:v>完整URL</x:v>
      </x:c>
      <x:c r="F28" s="30" t="str">
        <x:v>必填</x:v>
      </x:c>
      <x:c r="G28" s="30" t="str">
        <x:v>年度</x:v>
      </x:c>
      <x:c r="H28" s="30" t="str">
        <x:v>原始</x:v>
      </x:c>
      <x:c r="I28" s="30" t="str">
        <x:v>大豆主产国生产与平衡｜年度/营销年度</x:v>
      </x:c>
    </x:row>
    <x:row r="29">
      <x:c r="A29" s="30" t="str">
        <x:v>02大豆主产国年度</x:v>
      </x:c>
      <x:c r="B29" s="30" t="str">
        <x:v>note</x:v>
      </x:c>
      <x:c r="C29" s="30" t="str">
        <x:v>备注</x:v>
      </x:c>
      <x:c r="D29" s="30" t="str">
        <x:v>文本</x:v>
      </x:c>
      <x:c r="E29" s="30" t="str">
        <x:v>机构口径及修订说明</x:v>
      </x:c>
      <x:c r="F29" s="30" t="str">
        <x:v>选填</x:v>
      </x:c>
      <x:c r="G29" s="30" t="str">
        <x:v>年度</x:v>
      </x:c>
      <x:c r="H29" s="30" t="str">
        <x:v>原始</x:v>
      </x:c>
      <x:c r="I29" s="30" t="str">
        <x:v>大豆主产国生产与平衡｜年度/营销年度</x:v>
      </x:c>
    </x:row>
    <x:row r="30">
      <x:c r="A30" s="30" t="str">
        <x:v>03中国进口月度</x:v>
      </x:c>
      <x:c r="B30" s="30" t="str">
        <x:v>month</x:v>
      </x:c>
      <x:c r="C30" s="30" t="str">
        <x:v>月份</x:v>
      </x:c>
      <x:c r="D30" s="30" t="str">
        <x:v>日期</x:v>
      </x:c>
      <x:c r="E30" s="30" t="str">
        <x:v>统一填每月1日，格式yyyy-mm</x:v>
      </x:c>
      <x:c r="F30" s="30" t="str">
        <x:v>必填</x:v>
      </x:c>
      <x:c r="G30" s="30" t="str">
        <x:v>月度</x:v>
      </x:c>
      <x:c r="H30" s="30" t="str">
        <x:v>原始</x:v>
      </x:c>
      <x:c r="I30" s="30" t="str">
        <x:v>中国大豆进口｜月度</x:v>
      </x:c>
    </x:row>
    <x:row r="31">
      <x:c r="A31" s="30" t="str">
        <x:v>03中国进口月度</x:v>
      </x:c>
      <x:c r="B31" s="30" t="str">
        <x:v>origin_country</x:v>
      </x:c>
      <x:c r="C31" s="30" t="str">
        <x:v>来源国</x:v>
      </x:c>
      <x:c r="D31" s="30" t="str">
        <x:v>文本</x:v>
      </x:c>
      <x:c r="E31" s="30" t="str">
        <x:v>巴西/美国/阿根廷/其他/合计</x:v>
      </x:c>
      <x:c r="F31" s="30" t="str">
        <x:v>必填</x:v>
      </x:c>
      <x:c r="G31" s="30" t="str">
        <x:v>月度</x:v>
      </x:c>
      <x:c r="H31" s="30" t="str">
        <x:v>原始</x:v>
      </x:c>
      <x:c r="I31" s="30" t="str">
        <x:v>中国大豆进口｜月度</x:v>
      </x:c>
    </x:row>
    <x:row r="32">
      <x:c r="A32" s="30" t="str">
        <x:v>03中国进口月度</x:v>
      </x:c>
      <x:c r="B32" s="30" t="str">
        <x:v>import_qty_10kt</x:v>
      </x:c>
      <x:c r="C32" s="30" t="str">
        <x:v>进口数量</x:v>
      </x:c>
      <x:c r="D32" s="30" t="str">
        <x:v>数值</x:v>
      </x:c>
      <x:c r="E32" s="30" t="str">
        <x:v>万吨</x:v>
      </x:c>
      <x:c r="F32" s="30" t="str">
        <x:v>必填</x:v>
      </x:c>
      <x:c r="G32" s="30" t="str">
        <x:v>月度</x:v>
      </x:c>
      <x:c r="H32" s="30" t="str">
        <x:v>原始</x:v>
      </x:c>
      <x:c r="I32" s="30" t="str">
        <x:v>中国大豆进口｜月度</x:v>
      </x:c>
    </x:row>
    <x:row r="33">
      <x:c r="A33" s="30" t="str">
        <x:v>03中国进口月度</x:v>
      </x:c>
      <x:c r="B33" s="30" t="str">
        <x:v>import_value_100m_cny</x:v>
      </x:c>
      <x:c r="C33" s="30" t="str">
        <x:v>进口金额</x:v>
      </x:c>
      <x:c r="D33" s="30" t="str">
        <x:v>数值</x:v>
      </x:c>
      <x:c r="E33" s="30" t="str">
        <x:v>亿元人民币</x:v>
      </x:c>
      <x:c r="F33" s="30" t="str">
        <x:v>选填</x:v>
      </x:c>
      <x:c r="G33" s="30" t="str">
        <x:v>月度</x:v>
      </x:c>
      <x:c r="H33" s="30" t="str">
        <x:v>原始</x:v>
      </x:c>
      <x:c r="I33" s="30" t="str">
        <x:v>中国大豆进口｜月度</x:v>
      </x:c>
    </x:row>
    <x:row r="34">
      <x:c r="A34" s="30" t="str">
        <x:v>03中国进口月度</x:v>
      </x:c>
      <x:c r="B34" s="30" t="str">
        <x:v>avg_import_price_cny_t</x:v>
      </x:c>
      <x:c r="C34" s="30" t="str">
        <x:v>进口均价</x:v>
      </x:c>
      <x:c r="D34" s="30" t="str">
        <x:v>数值</x:v>
      </x:c>
      <x:c r="E34" s="30" t="str">
        <x:v>元/吨；金额×10000÷数量</x:v>
      </x:c>
      <x:c r="F34" s="30" t="str">
        <x:v>自动</x:v>
      </x:c>
      <x:c r="G34" s="30" t="str">
        <x:v>月度</x:v>
      </x:c>
      <x:c r="H34" s="30" t="str">
        <x:v>公式</x:v>
      </x:c>
      <x:c r="I34" s="30" t="str">
        <x:v>中国大豆进口｜月度</x:v>
      </x:c>
    </x:row>
    <x:row r="35">
      <x:c r="A35" s="30" t="str">
        <x:v>03中国进口月度</x:v>
      </x:c>
      <x:c r="B35" s="30" t="str">
        <x:v>source_url</x:v>
      </x:c>
      <x:c r="C35" s="30" t="str">
        <x:v>来源网址</x:v>
      </x:c>
      <x:c r="D35" s="30" t="str">
        <x:v>文本</x:v>
      </x:c>
      <x:c r="E35" s="30" t="str">
        <x:v>完整URL</x:v>
      </x:c>
      <x:c r="F35" s="30" t="str">
        <x:v>必填</x:v>
      </x:c>
      <x:c r="G35" s="30" t="str">
        <x:v>月度</x:v>
      </x:c>
      <x:c r="H35" s="30" t="str">
        <x:v>原始</x:v>
      </x:c>
      <x:c r="I35" s="30" t="str">
        <x:v>中国大豆进口｜月度</x:v>
      </x:c>
    </x:row>
    <x:row r="36">
      <x:c r="A36" s="30" t="str">
        <x:v>03中国进口月度</x:v>
      </x:c>
      <x:c r="B36" s="30" t="str">
        <x:v>note</x:v>
      </x:c>
      <x:c r="C36" s="30" t="str">
        <x:v>备注</x:v>
      </x:c>
      <x:c r="D36" s="30" t="str">
        <x:v>文本</x:v>
      </x:c>
      <x:c r="E36" s="30" t="str">
        <x:v>当月值/累计值必须注明</x:v>
      </x:c>
      <x:c r="F36" s="30" t="str">
        <x:v>选填</x:v>
      </x:c>
      <x:c r="G36" s="30" t="str">
        <x:v>月度</x:v>
      </x:c>
      <x:c r="H36" s="30" t="str">
        <x:v>原始</x:v>
      </x:c>
      <x:c r="I36" s="30" t="str">
        <x:v>中国大豆进口｜月度</x:v>
      </x:c>
    </x:row>
    <x:row r="37">
      <x:c r="A37" s="30" t="str">
        <x:v>04压榨库存月度</x:v>
      </x:c>
      <x:c r="B37" s="30" t="str">
        <x:v>month</x:v>
      </x:c>
      <x:c r="C37" s="30" t="str">
        <x:v>月份</x:v>
      </x:c>
      <x:c r="D37" s="30" t="str">
        <x:v>日期</x:v>
      </x:c>
      <x:c r="E37" s="30" t="str">
        <x:v>统一填每月1日，格式yyyy-mm</x:v>
      </x:c>
      <x:c r="F37" s="30" t="str">
        <x:v>必填</x:v>
      </x:c>
      <x:c r="G37" s="30" t="str">
        <x:v>月度</x:v>
      </x:c>
      <x:c r="H37" s="30" t="str">
        <x:v>原始</x:v>
      </x:c>
      <x:c r="I37" s="30" t="str">
        <x:v>中国压榨与库存｜月度</x:v>
      </x:c>
    </x:row>
    <x:row r="38">
      <x:c r="A38" s="30" t="str">
        <x:v>04压榨库存月度</x:v>
      </x:c>
      <x:c r="B38" s="30" t="str">
        <x:v>region</x:v>
      </x:c>
      <x:c r="C38" s="30" t="str">
        <x:v>区域</x:v>
      </x:c>
      <x:c r="D38" s="30" t="str">
        <x:v>文本</x:v>
      </x:c>
      <x:c r="E38" s="30" t="str">
        <x:v>全国/华东/华南/华北/山东/东北等</x:v>
      </x:c>
      <x:c r="F38" s="30" t="str">
        <x:v>必填</x:v>
      </x:c>
      <x:c r="G38" s="30" t="str">
        <x:v>月度</x:v>
      </x:c>
      <x:c r="H38" s="30" t="str">
        <x:v>原始</x:v>
      </x:c>
      <x:c r="I38" s="30" t="str">
        <x:v>中国压榨与库存｜月度</x:v>
      </x:c>
    </x:row>
    <x:row r="39">
      <x:c r="A39" s="30" t="str">
        <x:v>04压榨库存月度</x:v>
      </x:c>
      <x:c r="B39" s="30" t="str">
        <x:v>soy_arrivals_10kt</x:v>
      </x:c>
      <x:c r="C39" s="30" t="str">
        <x:v>大豆到港量</x:v>
      </x:c>
      <x:c r="D39" s="30" t="str">
        <x:v>数值</x:v>
      </x:c>
      <x:c r="E39" s="30" t="str">
        <x:v>万吨；月度合计</x:v>
      </x:c>
      <x:c r="F39" s="30" t="str">
        <x:v>必填</x:v>
      </x:c>
      <x:c r="G39" s="30" t="str">
        <x:v>月度</x:v>
      </x:c>
      <x:c r="H39" s="30" t="str">
        <x:v>原始</x:v>
      </x:c>
      <x:c r="I39" s="30" t="str">
        <x:v>中国压榨与库存｜月度</x:v>
      </x:c>
    </x:row>
    <x:row r="40">
      <x:c r="A40" s="30" t="str">
        <x:v>04压榨库存月度</x:v>
      </x:c>
      <x:c r="B40" s="30" t="str">
        <x:v>crush_volume_10kt</x:v>
      </x:c>
      <x:c r="C40" s="30" t="str">
        <x:v>大豆压榨量</x:v>
      </x:c>
      <x:c r="D40" s="30" t="str">
        <x:v>数值</x:v>
      </x:c>
      <x:c r="E40" s="30" t="str">
        <x:v>万吨；月度合计</x:v>
      </x:c>
      <x:c r="F40" s="30" t="str">
        <x:v>必填</x:v>
      </x:c>
      <x:c r="G40" s="30" t="str">
        <x:v>月度</x:v>
      </x:c>
      <x:c r="H40" s="30" t="str">
        <x:v>原始</x:v>
      </x:c>
      <x:c r="I40" s="30" t="str">
        <x:v>中国压榨与库存｜月度</x:v>
      </x:c>
    </x:row>
    <x:row r="41">
      <x:c r="A41" s="30" t="str">
        <x:v>04压榨库存月度</x:v>
      </x:c>
      <x:c r="B41" s="30" t="str">
        <x:v>operating_rate_pct</x:v>
      </x:c>
      <x:c r="C41" s="30" t="str">
        <x:v>平均开机率</x:v>
      </x:c>
      <x:c r="D41" s="30" t="str">
        <x:v>百分比</x:v>
      </x:c>
      <x:c r="E41" s="30" t="str">
        <x:v>0—100%</x:v>
      </x:c>
      <x:c r="F41" s="30" t="str">
        <x:v>选填</x:v>
      </x:c>
      <x:c r="G41" s="30" t="str">
        <x:v>月度</x:v>
      </x:c>
      <x:c r="H41" s="30" t="str">
        <x:v>原始</x:v>
      </x:c>
      <x:c r="I41" s="30" t="str">
        <x:v>中国压榨与库存｜月度</x:v>
      </x:c>
    </x:row>
    <x:row r="42">
      <x:c r="A42" s="30" t="str">
        <x:v>04压榨库存月度</x:v>
      </x:c>
      <x:c r="B42" s="30" t="str">
        <x:v>port_soy_stocks_10kt</x:v>
      </x:c>
      <x:c r="C42" s="30" t="str">
        <x:v>港口大豆库存</x:v>
      </x:c>
      <x:c r="D42" s="30" t="str">
        <x:v>数值</x:v>
      </x:c>
      <x:c r="E42" s="30" t="str">
        <x:v>万吨；月末值</x:v>
      </x:c>
      <x:c r="F42" s="30" t="str">
        <x:v>选填</x:v>
      </x:c>
      <x:c r="G42" s="30" t="str">
        <x:v>月度</x:v>
      </x:c>
      <x:c r="H42" s="30" t="str">
        <x:v>原始</x:v>
      </x:c>
      <x:c r="I42" s="30" t="str">
        <x:v>中国压榨与库存｜月度</x:v>
      </x:c>
    </x:row>
    <x:row r="43">
      <x:c r="A43" s="30" t="str">
        <x:v>04压榨库存月度</x:v>
      </x:c>
      <x:c r="B43" s="30" t="str">
        <x:v>mill_soy_stocks_10kt</x:v>
      </x:c>
      <x:c r="C43" s="30" t="str">
        <x:v>油厂大豆库存</x:v>
      </x:c>
      <x:c r="D43" s="30" t="str">
        <x:v>数值</x:v>
      </x:c>
      <x:c r="E43" s="30" t="str">
        <x:v>万吨；月末值</x:v>
      </x:c>
      <x:c r="F43" s="30" t="str">
        <x:v>必填</x:v>
      </x:c>
      <x:c r="G43" s="30" t="str">
        <x:v>月度</x:v>
      </x:c>
      <x:c r="H43" s="30" t="str">
        <x:v>原始</x:v>
      </x:c>
      <x:c r="I43" s="30" t="str">
        <x:v>中国压榨与库存｜月度</x:v>
      </x:c>
    </x:row>
    <x:row r="44">
      <x:c r="A44" s="30" t="str">
        <x:v>04压榨库存月度</x:v>
      </x:c>
      <x:c r="B44" s="30" t="str">
        <x:v>soymeal_stocks_10kt</x:v>
      </x:c>
      <x:c r="C44" s="30" t="str">
        <x:v>油厂豆粕库存</x:v>
      </x:c>
      <x:c r="D44" s="30" t="str">
        <x:v>数值</x:v>
      </x:c>
      <x:c r="E44" s="30" t="str">
        <x:v>万吨；月末值</x:v>
      </x:c>
      <x:c r="F44" s="30" t="str">
        <x:v>必填</x:v>
      </x:c>
      <x:c r="G44" s="30" t="str">
        <x:v>月度</x:v>
      </x:c>
      <x:c r="H44" s="30" t="str">
        <x:v>原始</x:v>
      </x:c>
      <x:c r="I44" s="30" t="str">
        <x:v>中国压榨与库存｜月度</x:v>
      </x:c>
    </x:row>
    <x:row r="45">
      <x:c r="A45" s="30" t="str">
        <x:v>04压榨库存月度</x:v>
      </x:c>
      <x:c r="B45" s="30" t="str">
        <x:v>soymeal_output_10kt</x:v>
      </x:c>
      <x:c r="C45" s="30" t="str">
        <x:v>豆粕产量</x:v>
      </x:c>
      <x:c r="D45" s="30" t="str">
        <x:v>数值</x:v>
      </x:c>
      <x:c r="E45" s="30" t="str">
        <x:v>万吨；月度合计</x:v>
      </x:c>
      <x:c r="F45" s="30" t="str">
        <x:v>选填</x:v>
      </x:c>
      <x:c r="G45" s="30" t="str">
        <x:v>月度</x:v>
      </x:c>
      <x:c r="H45" s="30" t="str">
        <x:v>原始</x:v>
      </x:c>
      <x:c r="I45" s="30" t="str">
        <x:v>中国压榨与库存｜月度</x:v>
      </x:c>
    </x:row>
    <x:row r="46">
      <x:c r="A46" s="30" t="str">
        <x:v>04压榨库存月度</x:v>
      </x:c>
      <x:c r="B46" s="30" t="str">
        <x:v>unexecuted_contracts_10kt</x:v>
      </x:c>
      <x:c r="C46" s="30" t="str">
        <x:v>豆粕未执行合同</x:v>
      </x:c>
      <x:c r="D46" s="30" t="str">
        <x:v>数值</x:v>
      </x:c>
      <x:c r="E46" s="30" t="str">
        <x:v>万吨；月末值</x:v>
      </x:c>
      <x:c r="F46" s="30" t="str">
        <x:v>选填</x:v>
      </x:c>
      <x:c r="G46" s="30" t="str">
        <x:v>月度</x:v>
      </x:c>
      <x:c r="H46" s="30" t="str">
        <x:v>原始</x:v>
      </x:c>
      <x:c r="I46" s="30" t="str">
        <x:v>中国压榨与库存｜月度</x:v>
      </x:c>
    </x:row>
    <x:row r="47">
      <x:c r="A47" s="30" t="str">
        <x:v>04压榨库存月度</x:v>
      </x:c>
      <x:c r="B47" s="30" t="str">
        <x:v>source_name</x:v>
      </x:c>
      <x:c r="C47" s="30" t="str">
        <x:v>来源机构</x:v>
      </x:c>
      <x:c r="D47" s="30" t="str">
        <x:v>文本</x:v>
      </x:c>
      <x:c r="E47" s="30" t="str">
        <x:v>供应商或样本名称</x:v>
      </x:c>
      <x:c r="F47" s="30" t="str">
        <x:v>必填</x:v>
      </x:c>
      <x:c r="G47" s="30" t="str">
        <x:v>月度</x:v>
      </x:c>
      <x:c r="H47" s="30" t="str">
        <x:v>原始</x:v>
      </x:c>
      <x:c r="I47" s="30" t="str">
        <x:v>中国压榨与库存｜月度</x:v>
      </x:c>
    </x:row>
    <x:row r="48">
      <x:c r="A48" s="30" t="str">
        <x:v>04压榨库存月度</x:v>
      </x:c>
      <x:c r="B48" s="30" t="str">
        <x:v>source_url</x:v>
      </x:c>
      <x:c r="C48" s="30" t="str">
        <x:v>来源网址</x:v>
      </x:c>
      <x:c r="D48" s="30" t="str">
        <x:v>文本</x:v>
      </x:c>
      <x:c r="E48" s="30" t="str">
        <x:v>完整URL；终端数据可写终端名</x:v>
      </x:c>
      <x:c r="F48" s="30" t="str">
        <x:v>选填</x:v>
      </x:c>
      <x:c r="G48" s="30" t="str">
        <x:v>月度</x:v>
      </x:c>
      <x:c r="H48" s="30" t="str">
        <x:v>原始</x:v>
      </x:c>
      <x:c r="I48" s="30" t="str">
        <x:v>中国压榨与库存｜月度</x:v>
      </x:c>
    </x:row>
    <x:row r="49">
      <x:c r="A49" s="30" t="str">
        <x:v>04压榨库存月度</x:v>
      </x:c>
      <x:c r="B49" s="30" t="str">
        <x:v>note</x:v>
      </x:c>
      <x:c r="C49" s="30" t="str">
        <x:v>备注</x:v>
      </x:c>
      <x:c r="D49" s="30" t="str">
        <x:v>文本</x:v>
      </x:c>
      <x:c r="E49" s="30" t="str">
        <x:v>样本范围及口径变化</x:v>
      </x:c>
      <x:c r="F49" s="30" t="str">
        <x:v>选填</x:v>
      </x:c>
      <x:c r="G49" s="30" t="str">
        <x:v>月度</x:v>
      </x:c>
      <x:c r="H49" s="30" t="str">
        <x:v>原始</x:v>
      </x:c>
      <x:c r="I49" s="30" t="str">
        <x:v>中国压榨与库存｜月度</x:v>
      </x:c>
    </x:row>
    <x:row r="50">
      <x:c r="A50" s="30" t="str">
        <x:v>05饲料月度</x:v>
      </x:c>
      <x:c r="B50" s="30" t="str">
        <x:v>month</x:v>
      </x:c>
      <x:c r="C50" s="30" t="str">
        <x:v>月份</x:v>
      </x:c>
      <x:c r="D50" s="30" t="str">
        <x:v>日期</x:v>
      </x:c>
      <x:c r="E50" s="30" t="str">
        <x:v>统一填每月1日，格式yyyy-mm</x:v>
      </x:c>
      <x:c r="F50" s="30" t="str">
        <x:v>必填</x:v>
      </x:c>
      <x:c r="G50" s="30" t="str">
        <x:v>月度</x:v>
      </x:c>
      <x:c r="H50" s="30" t="str">
        <x:v>原始</x:v>
      </x:c>
      <x:c r="I50" s="30" t="str">
        <x:v>饲料产量与结构｜月度</x:v>
      </x:c>
    </x:row>
    <x:row r="51">
      <x:c r="A51" s="30" t="str">
        <x:v>05饲料月度</x:v>
      </x:c>
      <x:c r="B51" s="30" t="str">
        <x:v>feed_category</x:v>
      </x:c>
      <x:c r="C51" s="30" t="str">
        <x:v>饲料品种</x:v>
      </x:c>
      <x:c r="D51" s="30" t="str">
        <x:v>文本</x:v>
      </x:c>
      <x:c r="E51" s="30" t="str">
        <x:v>猪料/蛋禽料/肉禽料/水产料/反刍料/宠物料/其他/合计</x:v>
      </x:c>
      <x:c r="F51" s="30" t="str">
        <x:v>必填</x:v>
      </x:c>
      <x:c r="G51" s="30" t="str">
        <x:v>月度</x:v>
      </x:c>
      <x:c r="H51" s="30" t="str">
        <x:v>原始</x:v>
      </x:c>
      <x:c r="I51" s="30" t="str">
        <x:v>饲料产量与结构｜月度</x:v>
      </x:c>
    </x:row>
    <x:row r="52">
      <x:c r="A52" s="30" t="str">
        <x:v>05饲料月度</x:v>
      </x:c>
      <x:c r="B52" s="30" t="str">
        <x:v>feed_output_10kt</x:v>
      </x:c>
      <x:c r="C52" s="30" t="str">
        <x:v>饲料产量</x:v>
      </x:c>
      <x:c r="D52" s="30" t="str">
        <x:v>数值</x:v>
      </x:c>
      <x:c r="E52" s="30" t="str">
        <x:v>万吨；月度合计</x:v>
      </x:c>
      <x:c r="F52" s="30" t="str">
        <x:v>必填</x:v>
      </x:c>
      <x:c r="G52" s="30" t="str">
        <x:v>月度</x:v>
      </x:c>
      <x:c r="H52" s="30" t="str">
        <x:v>原始</x:v>
      </x:c>
      <x:c r="I52" s="30" t="str">
        <x:v>饲料产量与结构｜月度</x:v>
      </x:c>
    </x:row>
    <x:row r="53">
      <x:c r="A53" s="30" t="str">
        <x:v>05饲料月度</x:v>
      </x:c>
      <x:c r="B53" s="30" t="str">
        <x:v>yoy_pct</x:v>
      </x:c>
      <x:c r="C53" s="30" t="str">
        <x:v>同比增速</x:v>
      </x:c>
      <x:c r="D53" s="30" t="str">
        <x:v>百分比</x:v>
      </x:c>
      <x:c r="E53" s="30" t="str">
        <x:v>0.0%</x:v>
      </x:c>
      <x:c r="F53" s="30" t="str">
        <x:v>选填</x:v>
      </x:c>
      <x:c r="G53" s="30" t="str">
        <x:v>月度</x:v>
      </x:c>
      <x:c r="H53" s="30" t="str">
        <x:v>原始</x:v>
      </x:c>
      <x:c r="I53" s="30" t="str">
        <x:v>饲料产量与结构｜月度</x:v>
      </x:c>
    </x:row>
    <x:row r="54">
      <x:c r="A54" s="30" t="str">
        <x:v>05饲料月度</x:v>
      </x:c>
      <x:c r="B54" s="30" t="str">
        <x:v>soymeal_inclusion_pct</x:v>
      </x:c>
      <x:c r="C54" s="30" t="str">
        <x:v>豆粕添加率假设</x:v>
      </x:c>
      <x:c r="D54" s="30" t="str">
        <x:v>百分比</x:v>
      </x:c>
      <x:c r="E54" s="30" t="str">
        <x:v>0.0%；若无可靠数据可暂空</x:v>
      </x:c>
      <x:c r="F54" s="30" t="str">
        <x:v>选填</x:v>
      </x:c>
      <x:c r="G54" s="30" t="str">
        <x:v>月度</x:v>
      </x:c>
      <x:c r="H54" s="30" t="str">
        <x:v>假设</x:v>
      </x:c>
      <x:c r="I54" s="30" t="str">
        <x:v>饲料产量与结构｜月度</x:v>
      </x:c>
    </x:row>
    <x:row r="55">
      <x:c r="A55" s="30" t="str">
        <x:v>05饲料月度</x:v>
      </x:c>
      <x:c r="B55" s="30" t="str">
        <x:v>estimated_soymeal_demand_10kt</x:v>
      </x:c>
      <x:c r="C55" s="30" t="str">
        <x:v>估算豆粕需求</x:v>
      </x:c>
      <x:c r="D55" s="30" t="str">
        <x:v>数值</x:v>
      </x:c>
      <x:c r="E55" s="30" t="str">
        <x:v>万吨；饲料产量×添加率</x:v>
      </x:c>
      <x:c r="F55" s="30" t="str">
        <x:v>自动</x:v>
      </x:c>
      <x:c r="G55" s="30" t="str">
        <x:v>月度</x:v>
      </x:c>
      <x:c r="H55" s="30" t="str">
        <x:v>公式</x:v>
      </x:c>
      <x:c r="I55" s="30" t="str">
        <x:v>饲料产量与结构｜月度</x:v>
      </x:c>
    </x:row>
    <x:row r="56">
      <x:c r="A56" s="30" t="str">
        <x:v>05饲料月度</x:v>
      </x:c>
      <x:c r="B56" s="30" t="str">
        <x:v>source_url</x:v>
      </x:c>
      <x:c r="C56" s="30" t="str">
        <x:v>来源网址</x:v>
      </x:c>
      <x:c r="D56" s="30" t="str">
        <x:v>文本</x:v>
      </x:c>
      <x:c r="E56" s="30" t="str">
        <x:v>完整URL</x:v>
      </x:c>
      <x:c r="F56" s="30" t="str">
        <x:v>必填</x:v>
      </x:c>
      <x:c r="G56" s="30" t="str">
        <x:v>月度</x:v>
      </x:c>
      <x:c r="H56" s="30" t="str">
        <x:v>原始</x:v>
      </x:c>
      <x:c r="I56" s="30" t="str">
        <x:v>饲料产量与结构｜月度</x:v>
      </x:c>
    </x:row>
    <x:row r="57">
      <x:c r="A57" s="30" t="str">
        <x:v>05饲料月度</x:v>
      </x:c>
      <x:c r="B57" s="30" t="str">
        <x:v>note</x:v>
      </x:c>
      <x:c r="C57" s="30" t="str">
        <x:v>备注</x:v>
      </x:c>
      <x:c r="D57" s="30" t="str">
        <x:v>文本</x:v>
      </x:c>
      <x:c r="E57" s="30" t="str">
        <x:v>样本范围及口径变化</x:v>
      </x:c>
      <x:c r="F57" s="30" t="str">
        <x:v>选填</x:v>
      </x:c>
      <x:c r="G57" s="30" t="str">
        <x:v>月度</x:v>
      </x:c>
      <x:c r="H57" s="30" t="str">
        <x:v>原始</x:v>
      </x:c>
      <x:c r="I57" s="30" t="str">
        <x:v>饲料产量与结构｜月度</x:v>
      </x:c>
    </x:row>
    <x:row r="58">
      <x:c r="A58" s="30" t="str">
        <x:v>06养殖月度</x:v>
      </x:c>
      <x:c r="B58" s="30" t="str">
        <x:v>month</x:v>
      </x:c>
      <x:c r="C58" s="30" t="str">
        <x:v>月份</x:v>
      </x:c>
      <x:c r="D58" s="30" t="str">
        <x:v>日期</x:v>
      </x:c>
      <x:c r="E58" s="30" t="str">
        <x:v>统一填每月1日，格式yyyy-mm</x:v>
      </x:c>
      <x:c r="F58" s="30" t="str">
        <x:v>必填</x:v>
      </x:c>
      <x:c r="G58" s="30" t="str">
        <x:v>月度（季度数据也统一落在季度末月份）</x:v>
      </x:c>
      <x:c r="H58" s="30" t="str">
        <x:v>原始</x:v>
      </x:c>
      <x:c r="I58" s="30" t="str">
        <x:v>养殖存栏与供给指标｜月度</x:v>
      </x:c>
    </x:row>
    <x:row r="59">
      <x:c r="A59" s="30" t="str">
        <x:v>06养殖月度</x:v>
      </x:c>
      <x:c r="B59" s="30" t="str">
        <x:v>hog_stock_10k_head</x:v>
      </x:c>
      <x:c r="C59" s="30" t="str">
        <x:v>生猪存栏</x:v>
      </x:c>
      <x:c r="D59" s="30" t="str">
        <x:v>数值</x:v>
      </x:c>
      <x:c r="E59" s="30" t="str">
        <x:v>万头；月末或季度末</x:v>
      </x:c>
      <x:c r="F59" s="30" t="str">
        <x:v>必填</x:v>
      </x:c>
      <x:c r="G59" s="30" t="str">
        <x:v>月度（季度数据也统一落在季度末月份）</x:v>
      </x:c>
      <x:c r="H59" s="30" t="str">
        <x:v>原始</x:v>
      </x:c>
      <x:c r="I59" s="30" t="str">
        <x:v>养殖存栏与供给指标｜月度</x:v>
      </x:c>
    </x:row>
    <x:row r="60">
      <x:c r="A60" s="30" t="str">
        <x:v>06养殖月度</x:v>
      </x:c>
      <x:c r="B60" s="30" t="str">
        <x:v>breeding_sow_10k_head</x:v>
      </x:c>
      <x:c r="C60" s="30" t="str">
        <x:v>能繁母猪存栏</x:v>
      </x:c>
      <x:c r="D60" s="30" t="str">
        <x:v>数值</x:v>
      </x:c>
      <x:c r="E60" s="30" t="str">
        <x:v>万头；月末或季度末</x:v>
      </x:c>
      <x:c r="F60" s="30" t="str">
        <x:v>必填</x:v>
      </x:c>
      <x:c r="G60" s="30" t="str">
        <x:v>月度（季度数据也统一落在季度末月份）</x:v>
      </x:c>
      <x:c r="H60" s="30" t="str">
        <x:v>原始</x:v>
      </x:c>
      <x:c r="I60" s="30" t="str">
        <x:v>养殖存栏与供给指标｜月度</x:v>
      </x:c>
    </x:row>
    <x:row r="61">
      <x:c r="A61" s="30" t="str">
        <x:v>06养殖月度</x:v>
      </x:c>
      <x:c r="B61" s="30" t="str">
        <x:v>hog_slaughter_10k_head</x:v>
      </x:c>
      <x:c r="C61" s="30" t="str">
        <x:v>生猪出栏/屠宰量</x:v>
      </x:c>
      <x:c r="D61" s="30" t="str">
        <x:v>数值</x:v>
      </x:c>
      <x:c r="E61" s="30" t="str">
        <x:v>万头；月度合计</x:v>
      </x:c>
      <x:c r="F61" s="30" t="str">
        <x:v>选填</x:v>
      </x:c>
      <x:c r="G61" s="30" t="str">
        <x:v>月度（季度数据也统一落在季度末月份）</x:v>
      </x:c>
      <x:c r="H61" s="30" t="str">
        <x:v>原始</x:v>
      </x:c>
      <x:c r="I61" s="30" t="str">
        <x:v>养殖存栏与供给指标｜月度</x:v>
      </x:c>
    </x:row>
    <x:row r="62">
      <x:c r="A62" s="30" t="str">
        <x:v>06养殖月度</x:v>
      </x:c>
      <x:c r="B62" s="30" t="str">
        <x:v>broiler_stock_10k_birds</x:v>
      </x:c>
      <x:c r="C62" s="30" t="str">
        <x:v>肉鸡存栏或补栏</x:v>
      </x:c>
      <x:c r="D62" s="30" t="str">
        <x:v>数值</x:v>
      </x:c>
      <x:c r="E62" s="30" t="str">
        <x:v>万羽；注明口径</x:v>
      </x:c>
      <x:c r="F62" s="30" t="str">
        <x:v>选填</x:v>
      </x:c>
      <x:c r="G62" s="30" t="str">
        <x:v>月度（季度数据也统一落在季度末月份）</x:v>
      </x:c>
      <x:c r="H62" s="30" t="str">
        <x:v>原始</x:v>
      </x:c>
      <x:c r="I62" s="30" t="str">
        <x:v>养殖存栏与供给指标｜月度</x:v>
      </x:c>
    </x:row>
    <x:row r="63">
      <x:c r="A63" s="30" t="str">
        <x:v>06养殖月度</x:v>
      </x:c>
      <x:c r="B63" s="30" t="str">
        <x:v>layer_stock_10k_birds</x:v>
      </x:c>
      <x:c r="C63" s="30" t="str">
        <x:v>蛋鸡存栏或补栏</x:v>
      </x:c>
      <x:c r="D63" s="30" t="str">
        <x:v>数值</x:v>
      </x:c>
      <x:c r="E63" s="30" t="str">
        <x:v>万羽；注明口径</x:v>
      </x:c>
      <x:c r="F63" s="30" t="str">
        <x:v>选填</x:v>
      </x:c>
      <x:c r="G63" s="30" t="str">
        <x:v>月度（季度数据也统一落在季度末月份）</x:v>
      </x:c>
      <x:c r="H63" s="30" t="str">
        <x:v>原始</x:v>
      </x:c>
      <x:c r="I63" s="30" t="str">
        <x:v>养殖存栏与供给指标｜月度</x:v>
      </x:c>
    </x:row>
    <x:row r="64">
      <x:c r="A64" s="30" t="str">
        <x:v>06养殖月度</x:v>
      </x:c>
      <x:c r="B64" s="30" t="str">
        <x:v>aquaculture_index</x:v>
      </x:c>
      <x:c r="C64" s="30" t="str">
        <x:v>水产养殖景气或投苗指数</x:v>
      </x:c>
      <x:c r="D64" s="30" t="str">
        <x:v>数值</x:v>
      </x:c>
      <x:c r="E64" s="30" t="str">
        <x:v>指数；没有可不采</x:v>
      </x:c>
      <x:c r="F64" s="30" t="str">
        <x:v>选填</x:v>
      </x:c>
      <x:c r="G64" s="30" t="str">
        <x:v>月度（季度数据也统一落在季度末月份）</x:v>
      </x:c>
      <x:c r="H64" s="30" t="str">
        <x:v>原始</x:v>
      </x:c>
      <x:c r="I64" s="30" t="str">
        <x:v>养殖存栏与供给指标｜月度</x:v>
      </x:c>
    </x:row>
    <x:row r="65">
      <x:c r="A65" s="30" t="str">
        <x:v>06养殖月度</x:v>
      </x:c>
      <x:c r="B65" s="30" t="str">
        <x:v>source_name</x:v>
      </x:c>
      <x:c r="C65" s="30" t="str">
        <x:v>来源机构</x:v>
      </x:c>
      <x:c r="D65" s="30" t="str">
        <x:v>文本</x:v>
      </x:c>
      <x:c r="E65" s="30" t="str">
        <x:v>国家统计局/农业农村部/行业机构</x:v>
      </x:c>
      <x:c r="F65" s="30" t="str">
        <x:v>必填</x:v>
      </x:c>
      <x:c r="G65" s="30" t="str">
        <x:v>月度（季度数据也统一落在季度末月份）</x:v>
      </x:c>
      <x:c r="H65" s="30" t="str">
        <x:v>原始</x:v>
      </x:c>
      <x:c r="I65" s="30" t="str">
        <x:v>养殖存栏与供给指标｜月度</x:v>
      </x:c>
    </x:row>
    <x:row r="66">
      <x:c r="A66" s="30" t="str">
        <x:v>06养殖月度</x:v>
      </x:c>
      <x:c r="B66" s="30" t="str">
        <x:v>source_url</x:v>
      </x:c>
      <x:c r="C66" s="30" t="str">
        <x:v>来源网址</x:v>
      </x:c>
      <x:c r="D66" s="30" t="str">
        <x:v>文本</x:v>
      </x:c>
      <x:c r="E66" s="30" t="str">
        <x:v>完整URL</x:v>
      </x:c>
      <x:c r="F66" s="30" t="str">
        <x:v>必填</x:v>
      </x:c>
      <x:c r="G66" s="30" t="str">
        <x:v>月度（季度数据也统一落在季度末月份）</x:v>
      </x:c>
      <x:c r="H66" s="30" t="str">
        <x:v>原始</x:v>
      </x:c>
      <x:c r="I66" s="30" t="str">
        <x:v>养殖存栏与供给指标｜月度</x:v>
      </x:c>
    </x:row>
    <x:row r="67">
      <x:c r="A67" s="30" t="str">
        <x:v>06养殖月度</x:v>
      </x:c>
      <x:c r="B67" s="30" t="str">
        <x:v>note</x:v>
      </x:c>
      <x:c r="C67" s="30" t="str">
        <x:v>备注</x:v>
      </x:c>
      <x:c r="D67" s="30" t="str">
        <x:v>文本</x:v>
      </x:c>
      <x:c r="E67" s="30" t="str">
        <x:v>月度推算值与季度官方值需区分</x:v>
      </x:c>
      <x:c r="F67" s="30" t="str">
        <x:v>选填</x:v>
      </x:c>
      <x:c r="G67" s="30" t="str">
        <x:v>月度（季度数据也统一落在季度末月份）</x:v>
      </x:c>
      <x:c r="H67" s="30" t="str">
        <x:v>原始</x:v>
      </x:c>
      <x:c r="I67" s="30" t="str">
        <x:v>养殖存栏与供给指标｜月度</x:v>
      </x:c>
    </x:row>
    <x:row r="68">
      <x:c r="A68" s="30" t="str">
        <x:v>07价格基差月度</x:v>
      </x:c>
      <x:c r="B68" s="30" t="str">
        <x:v>month</x:v>
      </x:c>
      <x:c r="C68" s="30" t="str">
        <x:v>月份</x:v>
      </x:c>
      <x:c r="D68" s="30" t="str">
        <x:v>日期</x:v>
      </x:c>
      <x:c r="E68" s="30" t="str">
        <x:v>统一填每月1日，格式yyyy-mm</x:v>
      </x:c>
      <x:c r="F68" s="30" t="str">
        <x:v>必填</x:v>
      </x:c>
      <x:c r="G68" s="30" t="str">
        <x:v>月度</x:v>
      </x:c>
      <x:c r="H68" s="30" t="str">
        <x:v>原始</x:v>
      </x:c>
      <x:c r="I68" s="30" t="str">
        <x:v>价格、基差与相关市场｜月度</x:v>
      </x:c>
    </x:row>
    <x:row r="69">
      <x:c r="A69" s="30" t="str">
        <x:v>07价格基差月度</x:v>
      </x:c>
      <x:c r="B69" s="30" t="str">
        <x:v>region</x:v>
      </x:c>
      <x:c r="C69" s="30" t="str">
        <x:v>现货区域</x:v>
      </x:c>
      <x:c r="D69" s="30" t="str">
        <x:v>文本</x:v>
      </x:c>
      <x:c r="E69" s="30" t="str">
        <x:v>全国/华东/华南/山东等</x:v>
      </x:c>
      <x:c r="F69" s="30" t="str">
        <x:v>必填</x:v>
      </x:c>
      <x:c r="G69" s="30" t="str">
        <x:v>月度</x:v>
      </x:c>
      <x:c r="H69" s="30" t="str">
        <x:v>原始</x:v>
      </x:c>
      <x:c r="I69" s="30" t="str">
        <x:v>价格、基差与相关市场｜月度</x:v>
      </x:c>
    </x:row>
    <x:row r="70">
      <x:c r="A70" s="30" t="str">
        <x:v>07价格基差月度</x:v>
      </x:c>
      <x:c r="B70" s="30" t="str">
        <x:v>dce_soymeal_avg_cny_t</x:v>
      </x:c>
      <x:c r="C70" s="30" t="str">
        <x:v>豆粕期货月均价</x:v>
      </x:c>
      <x:c r="D70" s="30" t="str">
        <x:v>数值</x:v>
      </x:c>
      <x:c r="E70" s="30" t="str">
        <x:v>元/吨；明确主力或指定合约</x:v>
      </x:c>
      <x:c r="F70" s="30" t="str">
        <x:v>必填</x:v>
      </x:c>
      <x:c r="G70" s="30" t="str">
        <x:v>月度</x:v>
      </x:c>
      <x:c r="H70" s="30" t="str">
        <x:v>原始</x:v>
      </x:c>
      <x:c r="I70" s="30" t="str">
        <x:v>价格、基差与相关市场｜月度</x:v>
      </x:c>
    </x:row>
    <x:row r="71">
      <x:c r="A71" s="30" t="str">
        <x:v>07价格基差月度</x:v>
      </x:c>
      <x:c r="B71" s="30" t="str">
        <x:v>dce_soymeal_month_end_cny_t</x:v>
      </x:c>
      <x:c r="C71" s="30" t="str">
        <x:v>豆粕期货月末价</x:v>
      </x:c>
      <x:c r="D71" s="30" t="str">
        <x:v>数值</x:v>
      </x:c>
      <x:c r="E71" s="30" t="str">
        <x:v>元/吨</x:v>
      </x:c>
      <x:c r="F71" s="30" t="str">
        <x:v>必填</x:v>
      </x:c>
      <x:c r="G71" s="30" t="str">
        <x:v>月度</x:v>
      </x:c>
      <x:c r="H71" s="30" t="str">
        <x:v>原始</x:v>
      </x:c>
      <x:c r="I71" s="30" t="str">
        <x:v>价格、基差与相关市场｜月度</x:v>
      </x:c>
    </x:row>
    <x:row r="72">
      <x:c r="A72" s="30" t="str">
        <x:v>07价格基差月度</x:v>
      </x:c>
      <x:c r="B72" s="30" t="str">
        <x:v>soymeal_spot_avg_cny_t</x:v>
      </x:c>
      <x:c r="C72" s="30" t="str">
        <x:v>豆粕现货月均价</x:v>
      </x:c>
      <x:c r="D72" s="30" t="str">
        <x:v>数值</x:v>
      </x:c>
      <x:c r="E72" s="30" t="str">
        <x:v>元/吨</x:v>
      </x:c>
      <x:c r="F72" s="30" t="str">
        <x:v>必填</x:v>
      </x:c>
      <x:c r="G72" s="30" t="str">
        <x:v>月度</x:v>
      </x:c>
      <x:c r="H72" s="30" t="str">
        <x:v>原始</x:v>
      </x:c>
      <x:c r="I72" s="30" t="str">
        <x:v>价格、基差与相关市场｜月度</x:v>
      </x:c>
    </x:row>
    <x:row r="73">
      <x:c r="A73" s="30" t="str">
        <x:v>07价格基差月度</x:v>
      </x:c>
      <x:c r="B73" s="30" t="str">
        <x:v>basis_avg_cny_t</x:v>
      </x:c>
      <x:c r="C73" s="30" t="str">
        <x:v>月均基差</x:v>
      </x:c>
      <x:c r="D73" s="30" t="str">
        <x:v>数值</x:v>
      </x:c>
      <x:c r="E73" s="30" t="str">
        <x:v>现货月均价-期货月均价</x:v>
      </x:c>
      <x:c r="F73" s="30" t="str">
        <x:v>自动</x:v>
      </x:c>
      <x:c r="G73" s="30" t="str">
        <x:v>月度</x:v>
      </x:c>
      <x:c r="H73" s="30" t="str">
        <x:v>公式</x:v>
      </x:c>
      <x:c r="I73" s="30" t="str">
        <x:v>价格、基差与相关市场｜月度</x:v>
      </x:c>
    </x:row>
    <x:row r="74">
      <x:c r="A74" s="30" t="str">
        <x:v>07价格基差月度</x:v>
      </x:c>
      <x:c r="B74" s="30" t="str">
        <x:v>cbot_soy_avg_uscent_bu</x:v>
      </x:c>
      <x:c r="C74" s="30" t="str">
        <x:v>CBOT大豆月均价</x:v>
      </x:c>
      <x:c r="D74" s="30" t="str">
        <x:v>数值</x:v>
      </x:c>
      <x:c r="E74" s="30" t="str">
        <x:v>美分/蒲式耳</x:v>
      </x:c>
      <x:c r="F74" s="30" t="str">
        <x:v>必填</x:v>
      </x:c>
      <x:c r="G74" s="30" t="str">
        <x:v>月度</x:v>
      </x:c>
      <x:c r="H74" s="30" t="str">
        <x:v>原始</x:v>
      </x:c>
      <x:c r="I74" s="30" t="str">
        <x:v>价格、基差与相关市场｜月度</x:v>
      </x:c>
    </x:row>
    <x:row r="75">
      <x:c r="A75" s="30" t="str">
        <x:v>07价格基差月度</x:v>
      </x:c>
      <x:c r="B75" s="30" t="str">
        <x:v>soybean_oil_avg_cny_t</x:v>
      </x:c>
      <x:c r="C75" s="30" t="str">
        <x:v>豆油月均价</x:v>
      </x:c>
      <x:c r="D75" s="30" t="str">
        <x:v>数值</x:v>
      </x:c>
      <x:c r="E75" s="30" t="str">
        <x:v>元/吨</x:v>
      </x:c>
      <x:c r="F75" s="30" t="str">
        <x:v>选填</x:v>
      </x:c>
      <x:c r="G75" s="30" t="str">
        <x:v>月度</x:v>
      </x:c>
      <x:c r="H75" s="30" t="str">
        <x:v>原始</x:v>
      </x:c>
      <x:c r="I75" s="30" t="str">
        <x:v>价格、基差与相关市场｜月度</x:v>
      </x:c>
    </x:row>
    <x:row r="76">
      <x:c r="A76" s="30" t="str">
        <x:v>07价格基差月度</x:v>
      </x:c>
      <x:c r="B76" s="30" t="str">
        <x:v>corn_avg_cny_t</x:v>
      </x:c>
      <x:c r="C76" s="30" t="str">
        <x:v>玉米月均价</x:v>
      </x:c>
      <x:c r="D76" s="30" t="str">
        <x:v>数值</x:v>
      </x:c>
      <x:c r="E76" s="30" t="str">
        <x:v>元/吨</x:v>
      </x:c>
      <x:c r="F76" s="30" t="str">
        <x:v>选填</x:v>
      </x:c>
      <x:c r="G76" s="30" t="str">
        <x:v>月度</x:v>
      </x:c>
      <x:c r="H76" s="30" t="str">
        <x:v>原始</x:v>
      </x:c>
      <x:c r="I76" s="30" t="str">
        <x:v>价格、基差与相关市场｜月度</x:v>
      </x:c>
    </x:row>
    <x:row r="77">
      <x:c r="A77" s="30" t="str">
        <x:v>07价格基差月度</x:v>
      </x:c>
      <x:c r="B77" s="30" t="str">
        <x:v>usd_cny_avg</x:v>
      </x:c>
      <x:c r="C77" s="30" t="str">
        <x:v>美元兑人民币月均汇率</x:v>
      </x:c>
      <x:c r="D77" s="30" t="str">
        <x:v>数值</x:v>
      </x:c>
      <x:c r="E77" s="30" t="str">
        <x:v>人民币/美元</x:v>
      </x:c>
      <x:c r="F77" s="30" t="str">
        <x:v>必填</x:v>
      </x:c>
      <x:c r="G77" s="30" t="str">
        <x:v>月度</x:v>
      </x:c>
      <x:c r="H77" s="30" t="str">
        <x:v>原始</x:v>
      </x:c>
      <x:c r="I77" s="30" t="str">
        <x:v>价格、基差与相关市场｜月度</x:v>
      </x:c>
    </x:row>
    <x:row r="78">
      <x:c r="A78" s="30" t="str">
        <x:v>07价格基差月度</x:v>
      </x:c>
      <x:c r="B78" s="30" t="str">
        <x:v>ocean_freight_usd_t</x:v>
      </x:c>
      <x:c r="C78" s="30" t="str">
        <x:v>海运费月均值</x:v>
      </x:c>
      <x:c r="D78" s="30" t="str">
        <x:v>数值</x:v>
      </x:c>
      <x:c r="E78" s="30" t="str">
        <x:v>美元/吨</x:v>
      </x:c>
      <x:c r="F78" s="30" t="str">
        <x:v>选填</x:v>
      </x:c>
      <x:c r="G78" s="30" t="str">
        <x:v>月度</x:v>
      </x:c>
      <x:c r="H78" s="30" t="str">
        <x:v>原始</x:v>
      </x:c>
      <x:c r="I78" s="30" t="str">
        <x:v>价格、基差与相关市场｜月度</x:v>
      </x:c>
    </x:row>
    <x:row r="79">
      <x:c r="A79" s="30" t="str">
        <x:v>07价格基差月度</x:v>
      </x:c>
      <x:c r="B79" s="30" t="str">
        <x:v>source_url</x:v>
      </x:c>
      <x:c r="C79" s="30" t="str">
        <x:v>来源网址</x:v>
      </x:c>
      <x:c r="D79" s="30" t="str">
        <x:v>文本</x:v>
      </x:c>
      <x:c r="E79" s="30" t="str">
        <x:v>完整URL或行情终端名称</x:v>
      </x:c>
      <x:c r="F79" s="30" t="str">
        <x:v>必填</x:v>
      </x:c>
      <x:c r="G79" s="30" t="str">
        <x:v>月度</x:v>
      </x:c>
      <x:c r="H79" s="30" t="str">
        <x:v>原始</x:v>
      </x:c>
      <x:c r="I79" s="30" t="str">
        <x:v>价格、基差与相关市场｜月度</x:v>
      </x:c>
    </x:row>
    <x:row r="80">
      <x:c r="A80" s="30" t="str">
        <x:v>07价格基差月度</x:v>
      </x:c>
      <x:c r="B80" s="30" t="str">
        <x:v>note</x:v>
      </x:c>
      <x:c r="C80" s="30" t="str">
        <x:v>备注</x:v>
      </x:c>
      <x:c r="D80" s="30" t="str">
        <x:v>文本</x:v>
      </x:c>
      <x:c r="E80" s="30" t="str">
        <x:v>合约切换规则必须注明</x:v>
      </x:c>
      <x:c r="F80" s="30" t="str">
        <x:v>选填</x:v>
      </x:c>
      <x:c r="G80" s="30" t="str">
        <x:v>月度</x:v>
      </x:c>
      <x:c r="H80" s="30" t="str">
        <x:v>原始</x:v>
      </x:c>
      <x:c r="I80" s="30" t="str">
        <x:v>价格、基差与相关市场｜月度</x:v>
      </x:c>
    </x:row>
    <x:row r="81">
      <x:c r="A81" s="30" t="str">
        <x:v>08成本利润月度</x:v>
      </x:c>
      <x:c r="B81" s="30" t="str">
        <x:v>month</x:v>
      </x:c>
      <x:c r="C81" s="30" t="str">
        <x:v>月份</x:v>
      </x:c>
      <x:c r="D81" s="30" t="str">
        <x:v>日期</x:v>
      </x:c>
      <x:c r="E81" s="30" t="str">
        <x:v>统一填每月1日，格式yyyy-mm</x:v>
      </x:c>
      <x:c r="F81" s="30" t="str">
        <x:v>必填</x:v>
      </x:c>
      <x:c r="G81" s="30" t="str">
        <x:v>月度</x:v>
      </x:c>
      <x:c r="H81" s="30" t="str">
        <x:v>原始</x:v>
      </x:c>
      <x:c r="I81" s="30" t="str">
        <x:v>进口成本、压榨利润与养殖利润｜月度</x:v>
      </x:c>
    </x:row>
    <x:row r="82">
      <x:c r="A82" s="30" t="str">
        <x:v>08成本利润月度</x:v>
      </x:c>
      <x:c r="B82" s="30" t="str">
        <x:v>origin</x:v>
      </x:c>
      <x:c r="C82" s="30" t="str">
        <x:v>大豆来源</x:v>
      </x:c>
      <x:c r="D82" s="30" t="str">
        <x:v>文本</x:v>
      </x:c>
      <x:c r="E82" s="30" t="str">
        <x:v>美湾/巴西/阿根廷/国内</x:v>
      </x:c>
      <x:c r="F82" s="30" t="str">
        <x:v>必填</x:v>
      </x:c>
      <x:c r="G82" s="30" t="str">
        <x:v>月度</x:v>
      </x:c>
      <x:c r="H82" s="30" t="str">
        <x:v>原始</x:v>
      </x:c>
      <x:c r="I82" s="30" t="str">
        <x:v>进口成本、压榨利润与养殖利润｜月度</x:v>
      </x:c>
    </x:row>
    <x:row r="83">
      <x:c r="A83" s="30" t="str">
        <x:v>08成本利润月度</x:v>
      </x:c>
      <x:c r="B83" s="30" t="str">
        <x:v>soy_landed_cost_cny_t</x:v>
      </x:c>
      <x:c r="C83" s="30" t="str">
        <x:v>大豆到岸完税成本</x:v>
      </x:c>
      <x:c r="D83" s="30" t="str">
        <x:v>数值</x:v>
      </x:c>
      <x:c r="E83" s="30" t="str">
        <x:v>元/吨</x:v>
      </x:c>
      <x:c r="F83" s="30" t="str">
        <x:v>必填</x:v>
      </x:c>
      <x:c r="G83" s="30" t="str">
        <x:v>月度</x:v>
      </x:c>
      <x:c r="H83" s="30" t="str">
        <x:v>原始</x:v>
      </x:c>
      <x:c r="I83" s="30" t="str">
        <x:v>进口成本、压榨利润与养殖利润｜月度</x:v>
      </x:c>
    </x:row>
    <x:row r="84">
      <x:c r="A84" s="30" t="str">
        <x:v>08成本利润月度</x:v>
      </x:c>
      <x:c r="B84" s="30" t="str">
        <x:v>soymeal_price_cny_t</x:v>
      </x:c>
      <x:c r="C84" s="30" t="str">
        <x:v>豆粕销售价格</x:v>
      </x:c>
      <x:c r="D84" s="30" t="str">
        <x:v>数值</x:v>
      </x:c>
      <x:c r="E84" s="30" t="str">
        <x:v>元/吨；月均</x:v>
      </x:c>
      <x:c r="F84" s="30" t="str">
        <x:v>必填</x:v>
      </x:c>
      <x:c r="G84" s="30" t="str">
        <x:v>月度</x:v>
      </x:c>
      <x:c r="H84" s="30" t="str">
        <x:v>原始</x:v>
      </x:c>
      <x:c r="I84" s="30" t="str">
        <x:v>进口成本、压榨利润与养殖利润｜月度</x:v>
      </x:c>
    </x:row>
    <x:row r="85">
      <x:c r="A85" s="30" t="str">
        <x:v>08成本利润月度</x:v>
      </x:c>
      <x:c r="B85" s="30" t="str">
        <x:v>soyoil_price_cny_t</x:v>
      </x:c>
      <x:c r="C85" s="30" t="str">
        <x:v>豆油销售价格</x:v>
      </x:c>
      <x:c r="D85" s="30" t="str">
        <x:v>数值</x:v>
      </x:c>
      <x:c r="E85" s="30" t="str">
        <x:v>元/吨；月均</x:v>
      </x:c>
      <x:c r="F85" s="30" t="str">
        <x:v>必填</x:v>
      </x:c>
      <x:c r="G85" s="30" t="str">
        <x:v>月度</x:v>
      </x:c>
      <x:c r="H85" s="30" t="str">
        <x:v>原始</x:v>
      </x:c>
      <x:c r="I85" s="30" t="str">
        <x:v>进口成本、压榨利润与养殖利润｜月度</x:v>
      </x:c>
    </x:row>
    <x:row r="86">
      <x:c r="A86" s="30" t="str">
        <x:v>08成本利润月度</x:v>
      </x:c>
      <x:c r="B86" s="30" t="str">
        <x:v>meal_yield_pct</x:v>
      </x:c>
      <x:c r="C86" s="30" t="str">
        <x:v>豆粕得率</x:v>
      </x:c>
      <x:c r="D86" s="30" t="str">
        <x:v>百分比</x:v>
      </x:c>
      <x:c r="E86" s="30" t="str">
        <x:v>例如79.0%</x:v>
      </x:c>
      <x:c r="F86" s="30" t="str">
        <x:v>必填</x:v>
      </x:c>
      <x:c r="G86" s="30" t="str">
        <x:v>月度</x:v>
      </x:c>
      <x:c r="H86" s="30" t="str">
        <x:v>假设</x:v>
      </x:c>
      <x:c r="I86" s="30" t="str">
        <x:v>进口成本、压榨利润与养殖利润｜月度</x:v>
      </x:c>
    </x:row>
    <x:row r="87">
      <x:c r="A87" s="30" t="str">
        <x:v>08成本利润月度</x:v>
      </x:c>
      <x:c r="B87" s="30" t="str">
        <x:v>oil_yield_pct</x:v>
      </x:c>
      <x:c r="C87" s="30" t="str">
        <x:v>豆油得率</x:v>
      </x:c>
      <x:c r="D87" s="30" t="str">
        <x:v>百分比</x:v>
      </x:c>
      <x:c r="E87" s="30" t="str">
        <x:v>例如18.5%</x:v>
      </x:c>
      <x:c r="F87" s="30" t="str">
        <x:v>必填</x:v>
      </x:c>
      <x:c r="G87" s="30" t="str">
        <x:v>月度</x:v>
      </x:c>
      <x:c r="H87" s="30" t="str">
        <x:v>假设</x:v>
      </x:c>
      <x:c r="I87" s="30" t="str">
        <x:v>进口成本、压榨利润与养殖利润｜月度</x:v>
      </x:c>
    </x:row>
    <x:row r="88">
      <x:c r="A88" s="30" t="str">
        <x:v>08成本利润月度</x:v>
      </x:c>
      <x:c r="B88" s="30" t="str">
        <x:v>other_cost_cny_t</x:v>
      </x:c>
      <x:c r="C88" s="30" t="str">
        <x:v>加工及其他成本</x:v>
      </x:c>
      <x:c r="D88" s="30" t="str">
        <x:v>数值</x:v>
      </x:c>
      <x:c r="E88" s="30" t="str">
        <x:v>元/吨大豆</x:v>
      </x:c>
      <x:c r="F88" s="30" t="str">
        <x:v>必填</x:v>
      </x:c>
      <x:c r="G88" s="30" t="str">
        <x:v>月度</x:v>
      </x:c>
      <x:c r="H88" s="30" t="str">
        <x:v>假设</x:v>
      </x:c>
      <x:c r="I88" s="30" t="str">
        <x:v>进口成本、压榨利润与养殖利润｜月度</x:v>
      </x:c>
    </x:row>
    <x:row r="89">
      <x:c r="A89" s="30" t="str">
        <x:v>08成本利润月度</x:v>
      </x:c>
      <x:c r="B89" s="30" t="str">
        <x:v>crush_revenue_cny_t</x:v>
      </x:c>
      <x:c r="C89" s="30" t="str">
        <x:v>压榨收入</x:v>
      </x:c>
      <x:c r="D89" s="30" t="str">
        <x:v>数值</x:v>
      </x:c>
      <x:c r="E89" s="30" t="str">
        <x:v>豆粕价×粕得率+豆油价×油得率</x:v>
      </x:c>
      <x:c r="F89" s="30" t="str">
        <x:v>自动</x:v>
      </x:c>
      <x:c r="G89" s="30" t="str">
        <x:v>月度</x:v>
      </x:c>
      <x:c r="H89" s="30" t="str">
        <x:v>公式</x:v>
      </x:c>
      <x:c r="I89" s="30" t="str">
        <x:v>进口成本、压榨利润与养殖利润｜月度</x:v>
      </x:c>
    </x:row>
    <x:row r="90">
      <x:c r="A90" s="30" t="str">
        <x:v>08成本利润月度</x:v>
      </x:c>
      <x:c r="B90" s="30" t="str">
        <x:v>crush_margin_cny_t</x:v>
      </x:c>
      <x:c r="C90" s="30" t="str">
        <x:v>压榨利润</x:v>
      </x:c>
      <x:c r="D90" s="30" t="str">
        <x:v>数值</x:v>
      </x:c>
      <x:c r="E90" s="30" t="str">
        <x:v>压榨收入-大豆成本-其他成本</x:v>
      </x:c>
      <x:c r="F90" s="30" t="str">
        <x:v>自动</x:v>
      </x:c>
      <x:c r="G90" s="30" t="str">
        <x:v>月度</x:v>
      </x:c>
      <x:c r="H90" s="30" t="str">
        <x:v>公式</x:v>
      </x:c>
      <x:c r="I90" s="30" t="str">
        <x:v>进口成本、压榨利润与养殖利润｜月度</x:v>
      </x:c>
    </x:row>
    <x:row r="91">
      <x:c r="A91" s="30" t="str">
        <x:v>08成本利润月度</x:v>
      </x:c>
      <x:c r="B91" s="30" t="str">
        <x:v>hog_profit_cny_head</x:v>
      </x:c>
      <x:c r="C91" s="30" t="str">
        <x:v>生猪养殖利润</x:v>
      </x:c>
      <x:c r="D91" s="30" t="str">
        <x:v>数值</x:v>
      </x:c>
      <x:c r="E91" s="30" t="str">
        <x:v>元/头；月均</x:v>
      </x:c>
      <x:c r="F91" s="30" t="str">
        <x:v>选填</x:v>
      </x:c>
      <x:c r="G91" s="30" t="str">
        <x:v>月度</x:v>
      </x:c>
      <x:c r="H91" s="30" t="str">
        <x:v>原始</x:v>
      </x:c>
      <x:c r="I91" s="30" t="str">
        <x:v>进口成本、压榨利润与养殖利润｜月度</x:v>
      </x:c>
    </x:row>
    <x:row r="92">
      <x:c r="A92" s="30" t="str">
        <x:v>08成本利润月度</x:v>
      </x:c>
      <x:c r="B92" s="30" t="str">
        <x:v>broiler_profit_cny_bird</x:v>
      </x:c>
      <x:c r="C92" s="30" t="str">
        <x:v>肉鸡养殖利润</x:v>
      </x:c>
      <x:c r="D92" s="30" t="str">
        <x:v>数值</x:v>
      </x:c>
      <x:c r="E92" s="30" t="str">
        <x:v>元/羽；月均</x:v>
      </x:c>
      <x:c r="F92" s="30" t="str">
        <x:v>选填</x:v>
      </x:c>
      <x:c r="G92" s="30" t="str">
        <x:v>月度</x:v>
      </x:c>
      <x:c r="H92" s="30" t="str">
        <x:v>原始</x:v>
      </x:c>
      <x:c r="I92" s="30" t="str">
        <x:v>进口成本、压榨利润与养殖利润｜月度</x:v>
      </x:c>
    </x:row>
    <x:row r="93">
      <x:c r="A93" s="30" t="str">
        <x:v>08成本利润月度</x:v>
      </x:c>
      <x:c r="B93" s="30" t="str">
        <x:v>layer_profit_cny_bird</x:v>
      </x:c>
      <x:c r="C93" s="30" t="str">
        <x:v>蛋鸡养殖利润</x:v>
      </x:c>
      <x:c r="D93" s="30" t="str">
        <x:v>数值</x:v>
      </x:c>
      <x:c r="E93" s="30" t="str">
        <x:v>元/羽；月均</x:v>
      </x:c>
      <x:c r="F93" s="30" t="str">
        <x:v>选填</x:v>
      </x:c>
      <x:c r="G93" s="30" t="str">
        <x:v>月度</x:v>
      </x:c>
      <x:c r="H93" s="30" t="str">
        <x:v>原始</x:v>
      </x:c>
      <x:c r="I93" s="30" t="str">
        <x:v>进口成本、压榨利润与养殖利润｜月度</x:v>
      </x:c>
    </x:row>
    <x:row r="94">
      <x:c r="A94" s="30" t="str">
        <x:v>08成本利润月度</x:v>
      </x:c>
      <x:c r="B94" s="30" t="str">
        <x:v>source_url</x:v>
      </x:c>
      <x:c r="C94" s="30" t="str">
        <x:v>来源网址</x:v>
      </x:c>
      <x:c r="D94" s="30" t="str">
        <x:v>文本</x:v>
      </x:c>
      <x:c r="E94" s="30" t="str">
        <x:v>完整URL或终端名称</x:v>
      </x:c>
      <x:c r="F94" s="30" t="str">
        <x:v>必填</x:v>
      </x:c>
      <x:c r="G94" s="30" t="str">
        <x:v>月度</x:v>
      </x:c>
      <x:c r="H94" s="30" t="str">
        <x:v>原始</x:v>
      </x:c>
      <x:c r="I94" s="30" t="str">
        <x:v>进口成本、压榨利润与养殖利润｜月度</x:v>
      </x:c>
    </x:row>
    <x:row r="95">
      <x:c r="A95" s="30" t="str">
        <x:v>08成本利润月度</x:v>
      </x:c>
      <x:c r="B95" s="30" t="str">
        <x:v>note</x:v>
      </x:c>
      <x:c r="C95" s="30" t="str">
        <x:v>备注</x:v>
      </x:c>
      <x:c r="D95" s="30" t="str">
        <x:v>文本</x:v>
      </x:c>
      <x:c r="E95" s="30" t="str">
        <x:v>成本项目与得率假设需保持一致</x:v>
      </x:c>
      <x:c r="F95" s="30" t="str">
        <x:v>选填</x:v>
      </x:c>
      <x:c r="G95" s="30" t="str">
        <x:v>月度</x:v>
      </x:c>
      <x:c r="H95" s="30" t="str">
        <x:v>原始</x:v>
      </x:c>
      <x:c r="I95" s="30" t="str">
        <x:v>进口成本、压榨利润与养殖利润｜月度</x:v>
      </x:c>
    </x:row>
  </x:sheetData>
  <x:mergeCells>
    <x:mergeCell ref="A1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3" hidden="0" customWidth="1"/>
    <x:col min="3" max="3" width="20" hidden="0" customWidth="1"/>
    <x:col min="4" max="4" width="24" hidden="0" customWidth="1"/>
    <x:col min="5" max="5" width="25" hidden="0" customWidth="1"/>
    <x:col min="6" max="6" width="52" hidden="0" customWidth="1"/>
  </x:cols>
  <x:sheetData>
    <x:row r="1">
      <x:c r="A1" s="3" t="str">
        <x:v>数据源与统一口径</x:v>
      </x:c>
      <x:c r="B1" s="3" t="str">
        <x:v>数据源与统一口径</x:v>
      </x:c>
      <x:c r="C1" s="3" t="str">
        <x:v>数据源与统一口径</x:v>
      </x:c>
      <x:c r="D1" s="3" t="str">
        <x:v>数据源与统一口径</x:v>
      </x:c>
      <x:c r="E1" s="3" t="str">
        <x:v>数据源与统一口径</x:v>
      </x:c>
      <x:c r="F1" s="3" t="str">
        <x:v>数据源与统一口径</x:v>
      </x:c>
    </x:row>
    <x:row r="2">
      <x:c r="A2" s="3" t="str">
        <x:v>数据源与统一口径</x:v>
      </x:c>
      <x:c r="B2" s="3" t="str">
        <x:v>数据源与统一口径</x:v>
      </x:c>
      <x:c r="C2" s="3" t="str">
        <x:v>数据源与统一口径</x:v>
      </x:c>
      <x:c r="D2" s="3" t="str">
        <x:v>数据源与统一口径</x:v>
      </x:c>
      <x:c r="E2" s="3" t="str">
        <x:v>数据源与统一口径</x:v>
      </x:c>
      <x:c r="F2" s="3" t="str">
        <x:v>数据源与统一口径</x:v>
      </x:c>
    </x:row>
    <x:row r="4" ht="34" customHeight="1">
      <x:c r="A4" s="6" t="str">
        <x:v>数据源</x:v>
      </x:c>
      <x:c r="B4" s="6" t="str">
        <x:v>需要采集的内容</x:v>
      </x:c>
      <x:c r="C4" s="6" t="str">
        <x:v>建议频率</x:v>
      </x:c>
      <x:c r="D4" s="6" t="str">
        <x:v>统一单位</x:v>
      </x:c>
      <x:c r="E4" s="6" t="str">
        <x:v>时间口径</x:v>
      </x:c>
      <x:c r="F4" s="6" t="str">
        <x:v>网址</x:v>
      </x:c>
    </x:row>
    <x:row r="5">
      <x:c r="A5" s="31" t="str">
        <x:v>USDA PSD</x:v>
      </x:c>
      <x:c r="B5" s="32" t="str">
        <x:v>全球油籽和豆粕产量、贸易、压榨、消费、库存</x:v>
      </x:c>
      <x:c r="C5" s="32" t="str">
        <x:v>年度/每月修订</x:v>
      </x:c>
      <x:c r="D5" s="32" t="str">
        <x:v>千吨、千公顷</x:v>
      </x:c>
      <x:c r="E5" s="32" t="str">
        <x:v>营销年度</x:v>
      </x:c>
      <x:c r="F5" s="33" t="str">
        <x:v>https://apps.fas.usda.gov/PSDOnlineDataServices/swagger/ui/index</x:v>
      </x:c>
    </x:row>
    <x:row r="6">
      <x:c r="A6" s="34" t="str">
        <x:v>USDA NASS</x:v>
      </x:c>
      <x:c r="B6" s="35" t="str">
        <x:v>美国大豆面积、单产、产量</x:v>
      </x:c>
      <x:c r="C6" s="35" t="str">
        <x:v>年度/月度修订</x:v>
      </x:c>
      <x:c r="D6" s="35" t="str">
        <x:v>英亩、蒲式耳/英亩</x:v>
      </x:c>
      <x:c r="E6" s="35" t="str">
        <x:v>自然年/作物年度</x:v>
      </x:c>
      <x:c r="F6" s="36" t="str">
        <x:v>https://quickstats.nass.usda.gov/</x:v>
      </x:c>
    </x:row>
    <x:row r="7">
      <x:c r="A7" s="34" t="str">
        <x:v>CONAB</x:v>
      </x:c>
      <x:c r="B7" s="35" t="str">
        <x:v>巴西大豆面积、单产、产量</x:v>
      </x:c>
      <x:c r="C7" s="35" t="str">
        <x:v>年度/月度修订</x:v>
      </x:c>
      <x:c r="D7" s="35" t="str">
        <x:v>千公顷、千吨</x:v>
      </x:c>
      <x:c r="E7" s="35" t="str">
        <x:v>巴西作物年度</x:v>
      </x:c>
      <x:c r="F7" s="36" t="str">
        <x:v>https://www.conab.gov.br/info-agro/safras</x:v>
      </x:c>
    </x:row>
    <x:row r="8">
      <x:c r="A8" s="34" t="str">
        <x:v>阿根廷农业部</x:v>
      </x:c>
      <x:c r="B8" s="35" t="str">
        <x:v>阿根廷大豆面积、单产、产量</x:v>
      </x:c>
      <x:c r="C8" s="35" t="str">
        <x:v>年度/月度修订</x:v>
      </x:c>
      <x:c r="D8" s="35" t="str">
        <x:v>公顷、吨</x:v>
      </x:c>
      <x:c r="E8" s="35" t="str">
        <x:v>阿根廷作物年度</x:v>
      </x:c>
      <x:c r="F8" s="36" t="str">
        <x:v>https://www.magyp.gob.ar/sitio/areas/estimaciones/</x:v>
      </x:c>
    </x:row>
    <x:row r="9">
      <x:c r="A9" s="34" t="str">
        <x:v>中国海关总署</x:v>
      </x:c>
      <x:c r="B9" s="35" t="str">
        <x:v>大豆进口数量、金额、来源国</x:v>
      </x:c>
      <x:c r="C9" s="35" t="str">
        <x:v>月度</x:v>
      </x:c>
      <x:c r="D9" s="35" t="str">
        <x:v>万吨、亿元或吨、美元</x:v>
      </x:c>
      <x:c r="E9" s="35" t="str">
        <x:v>自然月</x:v>
      </x:c>
      <x:c r="F9" s="36" t="str">
        <x:v>https://english.customs.gov.cn/Statistics/Statistics</x:v>
      </x:c>
    </x:row>
    <x:row r="10">
      <x:c r="A10" s="34" t="str">
        <x:v>中国饲料工业协会</x:v>
      </x:c>
      <x:c r="B10" s="35" t="str">
        <x:v>分品种饲料产量</x:v>
      </x:c>
      <x:c r="C10" s="35" t="str">
        <x:v>月度/年度</x:v>
      </x:c>
      <x:c r="D10" s="35" t="str">
        <x:v>万吨</x:v>
      </x:c>
      <x:c r="E10" s="35" t="str">
        <x:v>自然月</x:v>
      </x:c>
      <x:c r="F10" s="36" t="str">
        <x:v>https://www.chinafeed.org.cn/</x:v>
      </x:c>
    </x:row>
    <x:row r="11">
      <x:c r="A11" s="34" t="str">
        <x:v>国家统计局</x:v>
      </x:c>
      <x:c r="B11" s="35" t="str">
        <x:v>生猪存栏、出栏等</x:v>
      </x:c>
      <x:c r="C11" s="35" t="str">
        <x:v>季度/年度</x:v>
      </x:c>
      <x:c r="D11" s="35" t="str">
        <x:v>万头</x:v>
      </x:c>
      <x:c r="E11" s="35" t="str">
        <x:v>季度末/年末</x:v>
      </x:c>
      <x:c r="F11" s="36" t="str">
        <x:v>https://data.stats.gov.cn/</x:v>
      </x:c>
    </x:row>
    <x:row r="12">
      <x:c r="A12" s="34" t="str">
        <x:v>农业农村部</x:v>
      </x:c>
      <x:c r="B12" s="35" t="str">
        <x:v>能繁母猪、屠宰量、养殖利润等</x:v>
      </x:c>
      <x:c r="C12" s="35" t="str">
        <x:v>月度</x:v>
      </x:c>
      <x:c r="D12" s="35" t="str">
        <x:v>万头、元/头</x:v>
      </x:c>
      <x:c r="E12" s="35" t="str">
        <x:v>自然月</x:v>
      </x:c>
      <x:c r="F12" s="36" t="str">
        <x:v>https://www.moa.gov.cn/ztzl/szcpxx/jdsj/</x:v>
      </x:c>
    </x:row>
    <x:row r="13">
      <x:c r="A13" s="34" t="str">
        <x:v>大连商品交易所</x:v>
      </x:c>
      <x:c r="B13" s="35" t="str">
        <x:v>豆粕期货和交割信息</x:v>
      </x:c>
      <x:c r="C13" s="35" t="str">
        <x:v>日度汇总为月度</x:v>
      </x:c>
      <x:c r="D13" s="35" t="str">
        <x:v>元/吨、手</x:v>
      </x:c>
      <x:c r="E13" s="35" t="str">
        <x:v>月均/月末</x:v>
      </x:c>
      <x:c r="F13" s="36" t="str">
        <x:v>https://www.dce.com.cn/</x:v>
      </x:c>
    </x:row>
    <x:row r="14">
      <x:c r="A14" s="37" t="str">
        <x:v>行业资讯供应商</x:v>
      </x:c>
      <x:c r="B14" s="38" t="str">
        <x:v>到港、压榨、油厂库存、基差</x:v>
      </x:c>
      <x:c r="C14" s="38" t="str">
        <x:v>周度汇总为月度</x:v>
      </x:c>
      <x:c r="D14" s="38" t="str">
        <x:v>万吨、元/吨</x:v>
      </x:c>
      <x:c r="E14" s="38" t="str">
        <x:v>月合计/月均/月末</x:v>
      </x:c>
      <x:c r="F14" s="39" t="str">
        <x:v>请填写供应商或终端名称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4" hidden="0" customWidth="1"/>
    <x:col min="12" max="12" width="24" hidden="0" customWidth="1"/>
  </x:cols>
  <x:sheetData>
    <x:row r="1">
      <x:c r="A1" s="3" t="str">
        <x:v>全球油籽供需｜年度/营销年度</x:v>
      </x:c>
      <x:c r="B1" s="3" t="str">
        <x:v>全球油籽供需｜年度/营销年度</x:v>
      </x:c>
      <x:c r="C1" s="3" t="str">
        <x:v>全球油籽供需｜年度/营销年度</x:v>
      </x:c>
      <x:c r="D1" s="3" t="str">
        <x:v>全球油籽供需｜年度/营销年度</x:v>
      </x:c>
      <x:c r="E1" s="3" t="str">
        <x:v>全球油籽供需｜年度/营销年度</x:v>
      </x:c>
      <x:c r="F1" s="3" t="str">
        <x:v>全球油籽供需｜年度/营销年度</x:v>
      </x:c>
      <x:c r="G1" s="3" t="str">
        <x:v>全球油籽供需｜年度/营销年度</x:v>
      </x:c>
      <x:c r="H1" s="3" t="str">
        <x:v>全球油籽供需｜年度/营销年度</x:v>
      </x:c>
      <x:c r="I1" s="3" t="str">
        <x:v>全球油籽供需｜年度/营销年度</x:v>
      </x:c>
      <x:c r="J1" s="3" t="str">
        <x:v>全球油籽供需｜年度/营销年度</x:v>
      </x:c>
      <x:c r="K1" s="3" t="str">
        <x:v>全球油籽供需｜年度/营销年度</x:v>
      </x:c>
      <x:c r="L1" s="3" t="str">
        <x:v>全球油籽供需｜年度/营销年度</x:v>
      </x:c>
    </x:row>
    <x:row r="2">
      <x:c r="A2" s="3" t="str">
        <x:v>全球油籽供需｜年度/营销年度</x:v>
      </x:c>
      <x:c r="B2" s="3" t="str">
        <x:v>全球油籽供需｜年度/营销年度</x:v>
      </x:c>
      <x:c r="C2" s="3" t="str">
        <x:v>全球油籽供需｜年度/营销年度</x:v>
      </x:c>
      <x:c r="D2" s="3" t="str">
        <x:v>全球油籽供需｜年度/营销年度</x:v>
      </x:c>
      <x:c r="E2" s="3" t="str">
        <x:v>全球油籽供需｜年度/营销年度</x:v>
      </x:c>
      <x:c r="F2" s="3" t="str">
        <x:v>全球油籽供需｜年度/营销年度</x:v>
      </x:c>
      <x:c r="G2" s="3" t="str">
        <x:v>全球油籽供需｜年度/营销年度</x:v>
      </x:c>
      <x:c r="H2" s="3" t="str">
        <x:v>全球油籽供需｜年度/营销年度</x:v>
      </x:c>
      <x:c r="I2" s="3" t="str">
        <x:v>全球油籽供需｜年度/营销年度</x:v>
      </x:c>
      <x:c r="J2" s="3" t="str">
        <x:v>全球油籽供需｜年度/营销年度</x:v>
      </x:c>
      <x:c r="K2" s="3" t="str">
        <x:v>全球油籽供需｜年度/营销年度</x:v>
      </x:c>
      <x:c r="L2" s="3" t="str">
        <x:v>全球油籽供需｜年度/营销年度</x:v>
      </x:c>
    </x:row>
    <x:row r="3">
      <x:c r="A3" s="41" t="str">
        <x:v>首选来源：USDA PSD　https://apps.fas.usda.gov/PSDOnlineDataServices/swagger/ui/index</x:v>
      </x:c>
      <x:c r="B3" s="41" t="str">
        <x:v>首选来源：USDA PSD　https://apps.fas.usda.gov/PSDOnlineDataServices/swagger/ui/index</x:v>
      </x:c>
      <x:c r="C3" s="41" t="str">
        <x:v>首选来源：USDA PSD　https://apps.fas.usda.gov/PSDOnlineDataServices/swagger/ui/index</x:v>
      </x:c>
      <x:c r="D3" s="41" t="str">
        <x:v>首选来源：USDA PSD　https://apps.fas.usda.gov/PSDOnlineDataServices/swagger/ui/index</x:v>
      </x:c>
      <x:c r="E3" s="41" t="str">
        <x:v>首选来源：USDA PSD　https://apps.fas.usda.gov/PSDOnlineDataServices/swagger/ui/index</x:v>
      </x:c>
      <x:c r="F3" s="41" t="str">
        <x:v>首选来源：USDA PSD　https://apps.fas.usda.gov/PSDOnlineDataServices/swagger/ui/index</x:v>
      </x:c>
      <x:c r="G3" s="41" t="str">
        <x:v>首选来源：USDA PSD　https://apps.fas.usda.gov/PSDOnlineDataServices/swagger/ui/index</x:v>
      </x:c>
      <x:c r="H3" s="41" t="str">
        <x:v>首选来源：USDA PSD　https://apps.fas.usda.gov/PSDOnlineDataServices/swagger/ui/index</x:v>
      </x:c>
      <x:c r="I3" s="41" t="str">
        <x:v>首选来源：USDA PSD　https://apps.fas.usda.gov/PSDOnlineDataServices/swagger/ui/index</x:v>
      </x:c>
      <x:c r="J3" s="41" t="str">
        <x:v>首选来源：USDA PSD　https://apps.fas.usda.gov/PSDOnlineDataServices/swagger/ui/index</x:v>
      </x:c>
      <x:c r="K3" s="41" t="str">
        <x:v>首选来源：USDA PSD　https://apps.fas.usda.gov/PSDOnlineDataServices/swagger/ui/index</x:v>
      </x:c>
      <x:c r="L3" s="41" t="str">
        <x:v>首选来源：USDA PSD　https://apps.fas.usda.gov/PSDOnlineDataServices/swagger/ui/index</x:v>
      </x:c>
    </x:row>
    <x:row r="4" ht="34" customHeight="1">
      <x:c r="A4" s="6" t="str">
        <x:v>营销年度
必填</x:v>
      </x:c>
      <x:c r="B4" s="6" t="str">
        <x:v>数据版本日期
必填</x:v>
      </x:c>
      <x:c r="C4" s="6" t="str">
        <x:v>油籽品种
必填</x:v>
      </x:c>
      <x:c r="D4" s="6" t="str">
        <x:v>国家或地区
必填</x:v>
      </x:c>
      <x:c r="E4" s="6" t="str">
        <x:v>产量
必填</x:v>
      </x:c>
      <x:c r="F4" s="6" t="str">
        <x:v>出口量
必填</x:v>
      </x:c>
      <x:c r="G4" s="6" t="str">
        <x:v>进口量
必填</x:v>
      </x:c>
      <x:c r="H4" s="6" t="str">
        <x:v>压榨量
必填</x:v>
      </x:c>
      <x:c r="I4" s="6" t="str">
        <x:v>国内消费量
选填</x:v>
      </x:c>
      <x:c r="J4" s="6" t="str">
        <x:v>期末库存
选填</x:v>
      </x:c>
      <x:c r="K4" s="6" t="str">
        <x:v>来源网址
必填</x:v>
      </x:c>
      <x:c r="L4" s="6" t="str">
        <x:v>备注
选填</x:v>
      </x:c>
    </x:row>
    <x:row r="5" ht="22" customHeight="1">
      <x:c r="A5" s="45"/>
      <x:c r="B5" s="47"/>
      <x:c r="C5" s="45"/>
      <x:c r="D5" s="45"/>
      <x:c r="E5" s="49"/>
      <x:c r="F5" s="49"/>
      <x:c r="G5" s="49"/>
      <x:c r="H5" s="49"/>
      <x:c r="I5" s="49"/>
      <x:c r="J5" s="49"/>
      <x:c r="K5" s="45"/>
      <x:c r="L5" s="45"/>
    </x:row>
    <x:row r="6" ht="22" customHeight="1">
      <x:c r="A6" s="46"/>
      <x:c r="B6" s="48"/>
      <x:c r="C6" s="46"/>
      <x:c r="D6" s="46"/>
      <x:c r="E6" s="50"/>
      <x:c r="F6" s="50"/>
      <x:c r="G6" s="50"/>
      <x:c r="H6" s="50"/>
      <x:c r="I6" s="50"/>
      <x:c r="J6" s="50"/>
      <x:c r="K6" s="46"/>
      <x:c r="L6" s="46"/>
    </x:row>
    <x:row r="7" ht="22" customHeight="1">
      <x:c r="A7" s="46"/>
      <x:c r="B7" s="48"/>
      <x:c r="C7" s="46"/>
      <x:c r="D7" s="46"/>
      <x:c r="E7" s="50"/>
      <x:c r="F7" s="50"/>
      <x:c r="G7" s="50"/>
      <x:c r="H7" s="50"/>
      <x:c r="I7" s="50"/>
      <x:c r="J7" s="50"/>
      <x:c r="K7" s="46"/>
      <x:c r="L7" s="46"/>
    </x:row>
    <x:row r="8" ht="22" customHeight="1">
      <x:c r="A8" s="46"/>
      <x:c r="B8" s="48"/>
      <x:c r="C8" s="46"/>
      <x:c r="D8" s="46"/>
      <x:c r="E8" s="50"/>
      <x:c r="F8" s="50"/>
      <x:c r="G8" s="50"/>
      <x:c r="H8" s="50"/>
      <x:c r="I8" s="50"/>
      <x:c r="J8" s="50"/>
      <x:c r="K8" s="46"/>
      <x:c r="L8" s="46"/>
    </x:row>
    <x:row r="9" ht="22" customHeight="1">
      <x:c r="A9" s="46"/>
      <x:c r="B9" s="48"/>
      <x:c r="C9" s="46"/>
      <x:c r="D9" s="46"/>
      <x:c r="E9" s="50"/>
      <x:c r="F9" s="50"/>
      <x:c r="G9" s="50"/>
      <x:c r="H9" s="50"/>
      <x:c r="I9" s="50"/>
      <x:c r="J9" s="50"/>
      <x:c r="K9" s="46"/>
      <x:c r="L9" s="46"/>
    </x:row>
    <x:row r="10" ht="22" customHeight="1">
      <x:c r="A10" s="46"/>
      <x:c r="B10" s="48"/>
      <x:c r="C10" s="46"/>
      <x:c r="D10" s="46"/>
      <x:c r="E10" s="50"/>
      <x:c r="F10" s="50"/>
      <x:c r="G10" s="50"/>
      <x:c r="H10" s="50"/>
      <x:c r="I10" s="50"/>
      <x:c r="J10" s="50"/>
      <x:c r="K10" s="46"/>
      <x:c r="L10" s="46"/>
    </x:row>
    <x:row r="11" ht="22" customHeight="1">
      <x:c r="A11" s="46"/>
      <x:c r="B11" s="48"/>
      <x:c r="C11" s="46"/>
      <x:c r="D11" s="46"/>
      <x:c r="E11" s="50"/>
      <x:c r="F11" s="50"/>
      <x:c r="G11" s="50"/>
      <x:c r="H11" s="50"/>
      <x:c r="I11" s="50"/>
      <x:c r="J11" s="50"/>
      <x:c r="K11" s="46"/>
      <x:c r="L11" s="46"/>
    </x:row>
    <x:row r="12" ht="22" customHeight="1">
      <x:c r="A12" s="46"/>
      <x:c r="B12" s="48"/>
      <x:c r="C12" s="46"/>
      <x:c r="D12" s="46"/>
      <x:c r="E12" s="50"/>
      <x:c r="F12" s="50"/>
      <x:c r="G12" s="50"/>
      <x:c r="H12" s="50"/>
      <x:c r="I12" s="50"/>
      <x:c r="J12" s="50"/>
      <x:c r="K12" s="46"/>
      <x:c r="L12" s="46"/>
    </x:row>
    <x:row r="13" ht="22" customHeight="1">
      <x:c r="A13" s="46"/>
      <x:c r="B13" s="48"/>
      <x:c r="C13" s="46"/>
      <x:c r="D13" s="46"/>
      <x:c r="E13" s="50"/>
      <x:c r="F13" s="50"/>
      <x:c r="G13" s="50"/>
      <x:c r="H13" s="50"/>
      <x:c r="I13" s="50"/>
      <x:c r="J13" s="50"/>
      <x:c r="K13" s="46"/>
      <x:c r="L13" s="46"/>
    </x:row>
    <x:row r="14" ht="22" customHeight="1">
      <x:c r="A14" s="46"/>
      <x:c r="B14" s="48"/>
      <x:c r="C14" s="46"/>
      <x:c r="D14" s="46"/>
      <x:c r="E14" s="50"/>
      <x:c r="F14" s="50"/>
      <x:c r="G14" s="50"/>
      <x:c r="H14" s="50"/>
      <x:c r="I14" s="50"/>
      <x:c r="J14" s="50"/>
      <x:c r="K14" s="46"/>
      <x:c r="L14" s="46"/>
    </x:row>
    <x:row r="15" ht="22" customHeight="1">
      <x:c r="A15" s="46"/>
      <x:c r="B15" s="48"/>
      <x:c r="C15" s="46"/>
      <x:c r="D15" s="46"/>
      <x:c r="E15" s="50"/>
      <x:c r="F15" s="50"/>
      <x:c r="G15" s="50"/>
      <x:c r="H15" s="50"/>
      <x:c r="I15" s="50"/>
      <x:c r="J15" s="50"/>
      <x:c r="K15" s="46"/>
      <x:c r="L15" s="46"/>
    </x:row>
    <x:row r="16" ht="22" customHeight="1">
      <x:c r="A16" s="46"/>
      <x:c r="B16" s="48"/>
      <x:c r="C16" s="46"/>
      <x:c r="D16" s="46"/>
      <x:c r="E16" s="50"/>
      <x:c r="F16" s="50"/>
      <x:c r="G16" s="50"/>
      <x:c r="H16" s="50"/>
      <x:c r="I16" s="50"/>
      <x:c r="J16" s="50"/>
      <x:c r="K16" s="46"/>
      <x:c r="L16" s="46"/>
    </x:row>
    <x:row r="17" ht="22" customHeight="1">
      <x:c r="A17" s="46"/>
      <x:c r="B17" s="48"/>
      <x:c r="C17" s="46"/>
      <x:c r="D17" s="46"/>
      <x:c r="E17" s="50"/>
      <x:c r="F17" s="50"/>
      <x:c r="G17" s="50"/>
      <x:c r="H17" s="50"/>
      <x:c r="I17" s="50"/>
      <x:c r="J17" s="50"/>
      <x:c r="K17" s="46"/>
      <x:c r="L17" s="46"/>
    </x:row>
    <x:row r="18" ht="22" customHeight="1">
      <x:c r="A18" s="46"/>
      <x:c r="B18" s="48"/>
      <x:c r="C18" s="46"/>
      <x:c r="D18" s="46"/>
      <x:c r="E18" s="50"/>
      <x:c r="F18" s="50"/>
      <x:c r="G18" s="50"/>
      <x:c r="H18" s="50"/>
      <x:c r="I18" s="50"/>
      <x:c r="J18" s="50"/>
      <x:c r="K18" s="46"/>
      <x:c r="L18" s="46"/>
    </x:row>
    <x:row r="19" ht="22" customHeight="1">
      <x:c r="A19" s="46"/>
      <x:c r="B19" s="48"/>
      <x:c r="C19" s="46"/>
      <x:c r="D19" s="46"/>
      <x:c r="E19" s="50"/>
      <x:c r="F19" s="50"/>
      <x:c r="G19" s="50"/>
      <x:c r="H19" s="50"/>
      <x:c r="I19" s="50"/>
      <x:c r="J19" s="50"/>
      <x:c r="K19" s="46"/>
      <x:c r="L19" s="46"/>
    </x:row>
    <x:row r="20" ht="22" customHeight="1">
      <x:c r="A20" s="46"/>
      <x:c r="B20" s="48"/>
      <x:c r="C20" s="46"/>
      <x:c r="D20" s="46"/>
      <x:c r="E20" s="50"/>
      <x:c r="F20" s="50"/>
      <x:c r="G20" s="50"/>
      <x:c r="H20" s="50"/>
      <x:c r="I20" s="50"/>
      <x:c r="J20" s="50"/>
      <x:c r="K20" s="46"/>
      <x:c r="L20" s="46"/>
    </x:row>
    <x:row r="21" ht="22" customHeight="1">
      <x:c r="A21" s="46"/>
      <x:c r="B21" s="48"/>
      <x:c r="C21" s="46"/>
      <x:c r="D21" s="46"/>
      <x:c r="E21" s="50"/>
      <x:c r="F21" s="50"/>
      <x:c r="G21" s="50"/>
      <x:c r="H21" s="50"/>
      <x:c r="I21" s="50"/>
      <x:c r="J21" s="50"/>
      <x:c r="K21" s="46"/>
      <x:c r="L21" s="46"/>
    </x:row>
    <x:row r="22" ht="22" customHeight="1">
      <x:c r="A22" s="46"/>
      <x:c r="B22" s="48"/>
      <x:c r="C22" s="46"/>
      <x:c r="D22" s="46"/>
      <x:c r="E22" s="50"/>
      <x:c r="F22" s="50"/>
      <x:c r="G22" s="50"/>
      <x:c r="H22" s="50"/>
      <x:c r="I22" s="50"/>
      <x:c r="J22" s="50"/>
      <x:c r="K22" s="46"/>
      <x:c r="L22" s="46"/>
    </x:row>
    <x:row r="23" ht="22" customHeight="1">
      <x:c r="A23" s="46"/>
      <x:c r="B23" s="48"/>
      <x:c r="C23" s="46"/>
      <x:c r="D23" s="46"/>
      <x:c r="E23" s="50"/>
      <x:c r="F23" s="50"/>
      <x:c r="G23" s="50"/>
      <x:c r="H23" s="50"/>
      <x:c r="I23" s="50"/>
      <x:c r="J23" s="50"/>
      <x:c r="K23" s="46"/>
      <x:c r="L23" s="46"/>
    </x:row>
    <x:row r="24" ht="22" customHeight="1">
      <x:c r="A24" s="46"/>
      <x:c r="B24" s="48"/>
      <x:c r="C24" s="46"/>
      <x:c r="D24" s="46"/>
      <x:c r="E24" s="50"/>
      <x:c r="F24" s="50"/>
      <x:c r="G24" s="50"/>
      <x:c r="H24" s="50"/>
      <x:c r="I24" s="50"/>
      <x:c r="J24" s="50"/>
      <x:c r="K24" s="46"/>
      <x:c r="L24" s="46"/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76d97913d6f04c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4" hidden="0" customWidth="1"/>
    <x:col min="13" max="13" width="24" hidden="0" customWidth="1"/>
  </x:cols>
  <x:sheetData>
    <x:row r="1">
      <x:c r="A1" s="3" t="str">
        <x:v>大豆主产国生产与平衡｜年度/营销年度</x:v>
      </x:c>
      <x:c r="B1" s="3" t="str">
        <x:v>大豆主产国生产与平衡｜年度/营销年度</x:v>
      </x:c>
      <x:c r="C1" s="3" t="str">
        <x:v>大豆主产国生产与平衡｜年度/营销年度</x:v>
      </x:c>
      <x:c r="D1" s="3" t="str">
        <x:v>大豆主产国生产与平衡｜年度/营销年度</x:v>
      </x:c>
      <x:c r="E1" s="3" t="str">
        <x:v>大豆主产国生产与平衡｜年度/营销年度</x:v>
      </x:c>
      <x:c r="F1" s="3" t="str">
        <x:v>大豆主产国生产与平衡｜年度/营销年度</x:v>
      </x:c>
      <x:c r="G1" s="3" t="str">
        <x:v>大豆主产国生产与平衡｜年度/营销年度</x:v>
      </x:c>
      <x:c r="H1" s="3" t="str">
        <x:v>大豆主产国生产与平衡｜年度/营销年度</x:v>
      </x:c>
      <x:c r="I1" s="3" t="str">
        <x:v>大豆主产国生产与平衡｜年度/营销年度</x:v>
      </x:c>
      <x:c r="J1" s="3" t="str">
        <x:v>大豆主产国生产与平衡｜年度/营销年度</x:v>
      </x:c>
      <x:c r="K1" s="3" t="str">
        <x:v>大豆主产国生产与平衡｜年度/营销年度</x:v>
      </x:c>
      <x:c r="L1" s="3" t="str">
        <x:v>大豆主产国生产与平衡｜年度/营销年度</x:v>
      </x:c>
      <x:c r="M1" s="3" t="str">
        <x:v>大豆主产国生产与平衡｜年度/营销年度</x:v>
      </x:c>
    </x:row>
    <x:row r="2">
      <x:c r="A2" s="3" t="str">
        <x:v>大豆主产国生产与平衡｜年度/营销年度</x:v>
      </x:c>
      <x:c r="B2" s="3" t="str">
        <x:v>大豆主产国生产与平衡｜年度/营销年度</x:v>
      </x:c>
      <x:c r="C2" s="3" t="str">
        <x:v>大豆主产国生产与平衡｜年度/营销年度</x:v>
      </x:c>
      <x:c r="D2" s="3" t="str">
        <x:v>大豆主产国生产与平衡｜年度/营销年度</x:v>
      </x:c>
      <x:c r="E2" s="3" t="str">
        <x:v>大豆主产国生产与平衡｜年度/营销年度</x:v>
      </x:c>
      <x:c r="F2" s="3" t="str">
        <x:v>大豆主产国生产与平衡｜年度/营销年度</x:v>
      </x:c>
      <x:c r="G2" s="3" t="str">
        <x:v>大豆主产国生产与平衡｜年度/营销年度</x:v>
      </x:c>
      <x:c r="H2" s="3" t="str">
        <x:v>大豆主产国生产与平衡｜年度/营销年度</x:v>
      </x:c>
      <x:c r="I2" s="3" t="str">
        <x:v>大豆主产国生产与平衡｜年度/营销年度</x:v>
      </x:c>
      <x:c r="J2" s="3" t="str">
        <x:v>大豆主产国生产与平衡｜年度/营销年度</x:v>
      </x:c>
      <x:c r="K2" s="3" t="str">
        <x:v>大豆主产国生产与平衡｜年度/营销年度</x:v>
      </x:c>
      <x:c r="L2" s="3" t="str">
        <x:v>大豆主产国生产与平衡｜年度/营销年度</x:v>
      </x:c>
      <x:c r="M2" s="3" t="str">
        <x:v>大豆主产国生产与平衡｜年度/营销年度</x:v>
      </x:c>
    </x:row>
    <x:row r="3">
      <x:c r="A3" s="41" t="str">
        <x:v>首选来源：USDA PSD、USDA NASS、CONAB、阿根廷农业部　https://apps.fas.usda.gov/PSDOnline/app/index.html</x:v>
      </x:c>
      <x:c r="B3" s="41" t="str">
        <x:v>首选来源：USDA PSD、USDA NASS、CONAB、阿根廷农业部　https://apps.fas.usda.gov/PSDOnline/app/index.html</x:v>
      </x:c>
      <x:c r="C3" s="41" t="str">
        <x:v>首选来源：USDA PSD、USDA NASS、CONAB、阿根廷农业部　https://apps.fas.usda.gov/PSDOnline/app/index.html</x:v>
      </x:c>
      <x:c r="D3" s="41" t="str">
        <x:v>首选来源：USDA PSD、USDA NASS、CONAB、阿根廷农业部　https://apps.fas.usda.gov/PSDOnline/app/index.html</x:v>
      </x:c>
      <x:c r="E3" s="41" t="str">
        <x:v>首选来源：USDA PSD、USDA NASS、CONAB、阿根廷农业部　https://apps.fas.usda.gov/PSDOnline/app/index.html</x:v>
      </x:c>
      <x:c r="F3" s="41" t="str">
        <x:v>首选来源：USDA PSD、USDA NASS、CONAB、阿根廷农业部　https://apps.fas.usda.gov/PSDOnline/app/index.html</x:v>
      </x:c>
      <x:c r="G3" s="41" t="str">
        <x:v>首选来源：USDA PSD、USDA NASS、CONAB、阿根廷农业部　https://apps.fas.usda.gov/PSDOnline/app/index.html</x:v>
      </x:c>
      <x:c r="H3" s="41" t="str">
        <x:v>首选来源：USDA PSD、USDA NASS、CONAB、阿根廷农业部　https://apps.fas.usda.gov/PSDOnline/app/index.html</x:v>
      </x:c>
      <x:c r="I3" s="41" t="str">
        <x:v>首选来源：USDA PSD、USDA NASS、CONAB、阿根廷农业部　https://apps.fas.usda.gov/PSDOnline/app/index.html</x:v>
      </x:c>
      <x:c r="J3" s="41" t="str">
        <x:v>首选来源：USDA PSD、USDA NASS、CONAB、阿根廷农业部　https://apps.fas.usda.gov/PSDOnline/app/index.html</x:v>
      </x:c>
      <x:c r="K3" s="41" t="str">
        <x:v>首选来源：USDA PSD、USDA NASS、CONAB、阿根廷农业部　https://apps.fas.usda.gov/PSDOnline/app/index.html</x:v>
      </x:c>
      <x:c r="L3" s="41" t="str">
        <x:v>首选来源：USDA PSD、USDA NASS、CONAB、阿根廷农业部　https://apps.fas.usda.gov/PSDOnline/app/index.html</x:v>
      </x:c>
      <x:c r="M3" s="41" t="str">
        <x:v>首选来源：USDA PSD、USDA NASS、CONAB、阿根廷农业部　https://apps.fas.usda.gov/PSDOnline/app/index.html</x:v>
      </x:c>
    </x:row>
    <x:row r="4" ht="34" customHeight="1">
      <x:c r="A4" s="6" t="str">
        <x:v>营销年度
必填</x:v>
      </x:c>
      <x:c r="B4" s="6" t="str">
        <x:v>数据版本日期
必填</x:v>
      </x:c>
      <x:c r="C4" s="6" t="str">
        <x:v>国家
必填</x:v>
      </x:c>
      <x:c r="D4" s="6" t="str">
        <x:v>播种面积
必填</x:v>
      </x:c>
      <x:c r="E4" s="6" t="str">
        <x:v>收获面积
选填</x:v>
      </x:c>
      <x:c r="F4" s="6" t="str">
        <x:v>单产
必填</x:v>
      </x:c>
      <x:c r="G4" s="6" t="str">
        <x:v>产量
必填</x:v>
      </x:c>
      <x:c r="H4" s="6" t="str">
        <x:v>出口量
选填</x:v>
      </x:c>
      <x:c r="I4" s="6" t="str">
        <x:v>进口量
选填</x:v>
      </x:c>
      <x:c r="J4" s="6" t="str">
        <x:v>压榨量
选填</x:v>
      </x:c>
      <x:c r="K4" s="6" t="str">
        <x:v>期末库存
选填</x:v>
      </x:c>
      <x:c r="L4" s="6" t="str">
        <x:v>来源网址
必填</x:v>
      </x:c>
      <x:c r="M4" s="6" t="str">
        <x:v>备注
选填</x:v>
      </x:c>
    </x:row>
    <x:row r="5" ht="22" customHeight="1">
      <x:c r="A5" s="45"/>
      <x:c r="B5" s="47"/>
      <x:c r="C5" s="45"/>
      <x:c r="D5" s="49"/>
      <x:c r="E5" s="49"/>
      <x:c r="F5" s="49"/>
      <x:c r="G5" s="49"/>
      <x:c r="H5" s="49"/>
      <x:c r="I5" s="49"/>
      <x:c r="J5" s="49"/>
      <x:c r="K5" s="49"/>
      <x:c r="L5" s="45"/>
      <x:c r="M5" s="45"/>
    </x:row>
    <x:row r="6" ht="22" customHeight="1">
      <x:c r="A6" s="46"/>
      <x:c r="B6" s="48"/>
      <x:c r="C6" s="46"/>
      <x:c r="D6" s="50"/>
      <x:c r="E6" s="50"/>
      <x:c r="F6" s="50"/>
      <x:c r="G6" s="50"/>
      <x:c r="H6" s="50"/>
      <x:c r="I6" s="50"/>
      <x:c r="J6" s="50"/>
      <x:c r="K6" s="50"/>
      <x:c r="L6" s="46"/>
      <x:c r="M6" s="46"/>
    </x:row>
    <x:row r="7" ht="22" customHeight="1">
      <x:c r="A7" s="46"/>
      <x:c r="B7" s="48"/>
      <x:c r="C7" s="46"/>
      <x:c r="D7" s="50"/>
      <x:c r="E7" s="50"/>
      <x:c r="F7" s="50"/>
      <x:c r="G7" s="50"/>
      <x:c r="H7" s="50"/>
      <x:c r="I7" s="50"/>
      <x:c r="J7" s="50"/>
      <x:c r="K7" s="50"/>
      <x:c r="L7" s="46"/>
      <x:c r="M7" s="46"/>
    </x:row>
    <x:row r="8" ht="22" customHeight="1">
      <x:c r="A8" s="46"/>
      <x:c r="B8" s="48"/>
      <x:c r="C8" s="46"/>
      <x:c r="D8" s="50"/>
      <x:c r="E8" s="50"/>
      <x:c r="F8" s="50"/>
      <x:c r="G8" s="50"/>
      <x:c r="H8" s="50"/>
      <x:c r="I8" s="50"/>
      <x:c r="J8" s="50"/>
      <x:c r="K8" s="50"/>
      <x:c r="L8" s="46"/>
      <x:c r="M8" s="46"/>
    </x:row>
    <x:row r="9" ht="22" customHeight="1">
      <x:c r="A9" s="46"/>
      <x:c r="B9" s="48"/>
      <x:c r="C9" s="46"/>
      <x:c r="D9" s="50"/>
      <x:c r="E9" s="50"/>
      <x:c r="F9" s="50"/>
      <x:c r="G9" s="50"/>
      <x:c r="H9" s="50"/>
      <x:c r="I9" s="50"/>
      <x:c r="J9" s="50"/>
      <x:c r="K9" s="50"/>
      <x:c r="L9" s="46"/>
      <x:c r="M9" s="46"/>
    </x:row>
    <x:row r="10" ht="22" customHeight="1">
      <x:c r="A10" s="46"/>
      <x:c r="B10" s="48"/>
      <x:c r="C10" s="46"/>
      <x:c r="D10" s="50"/>
      <x:c r="E10" s="50"/>
      <x:c r="F10" s="50"/>
      <x:c r="G10" s="50"/>
      <x:c r="H10" s="50"/>
      <x:c r="I10" s="50"/>
      <x:c r="J10" s="50"/>
      <x:c r="K10" s="50"/>
      <x:c r="L10" s="46"/>
      <x:c r="M10" s="46"/>
    </x:row>
    <x:row r="11" ht="22" customHeight="1">
      <x:c r="A11" s="46"/>
      <x:c r="B11" s="48"/>
      <x:c r="C11" s="46"/>
      <x:c r="D11" s="50"/>
      <x:c r="E11" s="50"/>
      <x:c r="F11" s="50"/>
      <x:c r="G11" s="50"/>
      <x:c r="H11" s="50"/>
      <x:c r="I11" s="50"/>
      <x:c r="J11" s="50"/>
      <x:c r="K11" s="50"/>
      <x:c r="L11" s="46"/>
      <x:c r="M11" s="46"/>
    </x:row>
    <x:row r="12" ht="22" customHeight="1">
      <x:c r="A12" s="46"/>
      <x:c r="B12" s="48"/>
      <x:c r="C12" s="46"/>
      <x:c r="D12" s="50"/>
      <x:c r="E12" s="50"/>
      <x:c r="F12" s="50"/>
      <x:c r="G12" s="50"/>
      <x:c r="H12" s="50"/>
      <x:c r="I12" s="50"/>
      <x:c r="J12" s="50"/>
      <x:c r="K12" s="50"/>
      <x:c r="L12" s="46"/>
      <x:c r="M12" s="46"/>
    </x:row>
    <x:row r="13" ht="22" customHeight="1">
      <x:c r="A13" s="46"/>
      <x:c r="B13" s="48"/>
      <x:c r="C13" s="46"/>
      <x:c r="D13" s="50"/>
      <x:c r="E13" s="50"/>
      <x:c r="F13" s="50"/>
      <x:c r="G13" s="50"/>
      <x:c r="H13" s="50"/>
      <x:c r="I13" s="50"/>
      <x:c r="J13" s="50"/>
      <x:c r="K13" s="50"/>
      <x:c r="L13" s="46"/>
      <x:c r="M13" s="46"/>
    </x:row>
    <x:row r="14" ht="22" customHeight="1">
      <x:c r="A14" s="46"/>
      <x:c r="B14" s="48"/>
      <x:c r="C14" s="46"/>
      <x:c r="D14" s="50"/>
      <x:c r="E14" s="50"/>
      <x:c r="F14" s="50"/>
      <x:c r="G14" s="50"/>
      <x:c r="H14" s="50"/>
      <x:c r="I14" s="50"/>
      <x:c r="J14" s="50"/>
      <x:c r="K14" s="50"/>
      <x:c r="L14" s="46"/>
      <x:c r="M14" s="46"/>
    </x:row>
    <x:row r="15" ht="22" customHeight="1">
      <x:c r="A15" s="46"/>
      <x:c r="B15" s="48"/>
      <x:c r="C15" s="46"/>
      <x:c r="D15" s="50"/>
      <x:c r="E15" s="50"/>
      <x:c r="F15" s="50"/>
      <x:c r="G15" s="50"/>
      <x:c r="H15" s="50"/>
      <x:c r="I15" s="50"/>
      <x:c r="J15" s="50"/>
      <x:c r="K15" s="50"/>
      <x:c r="L15" s="46"/>
      <x:c r="M15" s="46"/>
    </x:row>
    <x:row r="16" ht="22" customHeight="1">
      <x:c r="A16" s="46"/>
      <x:c r="B16" s="48"/>
      <x:c r="C16" s="46"/>
      <x:c r="D16" s="50"/>
      <x:c r="E16" s="50"/>
      <x:c r="F16" s="50"/>
      <x:c r="G16" s="50"/>
      <x:c r="H16" s="50"/>
      <x:c r="I16" s="50"/>
      <x:c r="J16" s="50"/>
      <x:c r="K16" s="50"/>
      <x:c r="L16" s="46"/>
      <x:c r="M16" s="46"/>
    </x:row>
    <x:row r="17" ht="22" customHeight="1">
      <x:c r="A17" s="46"/>
      <x:c r="B17" s="48"/>
      <x:c r="C17" s="46"/>
      <x:c r="D17" s="50"/>
      <x:c r="E17" s="50"/>
      <x:c r="F17" s="50"/>
      <x:c r="G17" s="50"/>
      <x:c r="H17" s="50"/>
      <x:c r="I17" s="50"/>
      <x:c r="J17" s="50"/>
      <x:c r="K17" s="50"/>
      <x:c r="L17" s="46"/>
      <x:c r="M17" s="46"/>
    </x:row>
    <x:row r="18" ht="22" customHeight="1">
      <x:c r="A18" s="46"/>
      <x:c r="B18" s="48"/>
      <x:c r="C18" s="46"/>
      <x:c r="D18" s="50"/>
      <x:c r="E18" s="50"/>
      <x:c r="F18" s="50"/>
      <x:c r="G18" s="50"/>
      <x:c r="H18" s="50"/>
      <x:c r="I18" s="50"/>
      <x:c r="J18" s="50"/>
      <x:c r="K18" s="50"/>
      <x:c r="L18" s="46"/>
      <x:c r="M18" s="46"/>
    </x:row>
    <x:row r="19" ht="22" customHeight="1">
      <x:c r="A19" s="46"/>
      <x:c r="B19" s="48"/>
      <x:c r="C19" s="46"/>
      <x:c r="D19" s="50"/>
      <x:c r="E19" s="50"/>
      <x:c r="F19" s="50"/>
      <x:c r="G19" s="50"/>
      <x:c r="H19" s="50"/>
      <x:c r="I19" s="50"/>
      <x:c r="J19" s="50"/>
      <x:c r="K19" s="50"/>
      <x:c r="L19" s="46"/>
      <x:c r="M19" s="46"/>
    </x:row>
    <x:row r="20" ht="22" customHeight="1">
      <x:c r="A20" s="46"/>
      <x:c r="B20" s="48"/>
      <x:c r="C20" s="46"/>
      <x:c r="D20" s="50"/>
      <x:c r="E20" s="50"/>
      <x:c r="F20" s="50"/>
      <x:c r="G20" s="50"/>
      <x:c r="H20" s="50"/>
      <x:c r="I20" s="50"/>
      <x:c r="J20" s="50"/>
      <x:c r="K20" s="50"/>
      <x:c r="L20" s="46"/>
      <x:c r="M20" s="46"/>
    </x:row>
    <x:row r="21" ht="22" customHeight="1">
      <x:c r="A21" s="46"/>
      <x:c r="B21" s="48"/>
      <x:c r="C21" s="46"/>
      <x:c r="D21" s="50"/>
      <x:c r="E21" s="50"/>
      <x:c r="F21" s="50"/>
      <x:c r="G21" s="50"/>
      <x:c r="H21" s="50"/>
      <x:c r="I21" s="50"/>
      <x:c r="J21" s="50"/>
      <x:c r="K21" s="50"/>
      <x:c r="L21" s="46"/>
      <x:c r="M21" s="46"/>
    </x:row>
    <x:row r="22" ht="22" customHeight="1">
      <x:c r="A22" s="46"/>
      <x:c r="B22" s="48"/>
      <x:c r="C22" s="46"/>
      <x:c r="D22" s="50"/>
      <x:c r="E22" s="50"/>
      <x:c r="F22" s="50"/>
      <x:c r="G22" s="50"/>
      <x:c r="H22" s="50"/>
      <x:c r="I22" s="50"/>
      <x:c r="J22" s="50"/>
      <x:c r="K22" s="50"/>
      <x:c r="L22" s="46"/>
      <x:c r="M22" s="46"/>
    </x:row>
    <x:row r="23" ht="22" customHeight="1">
      <x:c r="A23" s="46"/>
      <x:c r="B23" s="48"/>
      <x:c r="C23" s="46"/>
      <x:c r="D23" s="50"/>
      <x:c r="E23" s="50"/>
      <x:c r="F23" s="50"/>
      <x:c r="G23" s="50"/>
      <x:c r="H23" s="50"/>
      <x:c r="I23" s="50"/>
      <x:c r="J23" s="50"/>
      <x:c r="K23" s="50"/>
      <x:c r="L23" s="46"/>
      <x:c r="M23" s="46"/>
    </x:row>
    <x:row r="24" ht="22" customHeight="1">
      <x:c r="A24" s="46"/>
      <x:c r="B24" s="48"/>
      <x:c r="C24" s="46"/>
      <x:c r="D24" s="50"/>
      <x:c r="E24" s="50"/>
      <x:c r="F24" s="50"/>
      <x:c r="G24" s="50"/>
      <x:c r="H24" s="50"/>
      <x:c r="I24" s="50"/>
      <x:c r="J24" s="50"/>
      <x:c r="K24" s="50"/>
      <x:c r="L24" s="46"/>
      <x:c r="M24" s="46"/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1f0a6c6f105a44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24" hidden="0" customWidth="1"/>
  </x:cols>
  <x:sheetData>
    <x:row r="1">
      <x:c r="A1" s="3" t="str">
        <x:v>中国大豆进口｜月度</x:v>
      </x:c>
      <x:c r="B1" s="3" t="str">
        <x:v>中国大豆进口｜月度</x:v>
      </x:c>
      <x:c r="C1" s="3" t="str">
        <x:v>中国大豆进口｜月度</x:v>
      </x:c>
      <x:c r="D1" s="3" t="str">
        <x:v>中国大豆进口｜月度</x:v>
      </x:c>
      <x:c r="E1" s="3" t="str">
        <x:v>中国大豆进口｜月度</x:v>
      </x:c>
      <x:c r="F1" s="3" t="str">
        <x:v>中国大豆进口｜月度</x:v>
      </x:c>
      <x:c r="G1" s="3" t="str">
        <x:v>中国大豆进口｜月度</x:v>
      </x:c>
    </x:row>
    <x:row r="2">
      <x:c r="A2" s="3" t="str">
        <x:v>中国大豆进口｜月度</x:v>
      </x:c>
      <x:c r="B2" s="3" t="str">
        <x:v>中国大豆进口｜月度</x:v>
      </x:c>
      <x:c r="C2" s="3" t="str">
        <x:v>中国大豆进口｜月度</x:v>
      </x:c>
      <x:c r="D2" s="3" t="str">
        <x:v>中国大豆进口｜月度</x:v>
      </x:c>
      <x:c r="E2" s="3" t="str">
        <x:v>中国大豆进口｜月度</x:v>
      </x:c>
      <x:c r="F2" s="3" t="str">
        <x:v>中国大豆进口｜月度</x:v>
      </x:c>
      <x:c r="G2" s="3" t="str">
        <x:v>中国大豆进口｜月度</x:v>
      </x:c>
    </x:row>
    <x:row r="3">
      <x:c r="A3" s="41" t="str">
        <x:v>首选来源：海关总署　https://english.customs.gov.cn/Statistics/Statistics</x:v>
      </x:c>
      <x:c r="B3" s="41" t="str">
        <x:v>首选来源：海关总署　https://english.customs.gov.cn/Statistics/Statistics</x:v>
      </x:c>
      <x:c r="C3" s="41" t="str">
        <x:v>首选来源：海关总署　https://english.customs.gov.cn/Statistics/Statistics</x:v>
      </x:c>
      <x:c r="D3" s="41" t="str">
        <x:v>首选来源：海关总署　https://english.customs.gov.cn/Statistics/Statistics</x:v>
      </x:c>
      <x:c r="E3" s="41" t="str">
        <x:v>首选来源：海关总署　https://english.customs.gov.cn/Statistics/Statistics</x:v>
      </x:c>
      <x:c r="F3" s="41" t="str">
        <x:v>首选来源：海关总署　https://english.customs.gov.cn/Statistics/Statistics</x:v>
      </x:c>
      <x:c r="G3" s="41" t="str">
        <x:v>首选来源：海关总署　https://english.customs.gov.cn/Statistics/Statistics</x:v>
      </x:c>
    </x:row>
    <x:row r="4" ht="34" customHeight="1">
      <x:c r="A4" s="6" t="str">
        <x:v>月份
必填</x:v>
      </x:c>
      <x:c r="B4" s="6" t="str">
        <x:v>来源国
必填</x:v>
      </x:c>
      <x:c r="C4" s="6" t="str">
        <x:v>进口数量
必填</x:v>
      </x:c>
      <x:c r="D4" s="6" t="str">
        <x:v>进口金额
选填</x:v>
      </x:c>
      <x:c r="E4" s="6" t="str">
        <x:v>进口均价
自动</x:v>
      </x:c>
      <x:c r="F4" s="6" t="str">
        <x:v>来源网址
必填</x:v>
      </x:c>
      <x:c r="G4" s="6" t="str">
        <x:v>备注
选填</x:v>
      </x:c>
    </x:row>
    <x:row r="5" ht="22" customHeight="1">
      <x:c r="A5" s="47"/>
      <x:c r="B5" s="45"/>
      <x:c r="C5" s="49"/>
      <x:c r="D5" s="49"/>
      <x:c r="E5" s="55" t="str">
        <x:f>IF(OR(C5="",D5=""),"",D5*10000/C5)</x:f>
      </x:c>
      <x:c r="F5" s="45"/>
      <x:c r="G5" s="45"/>
    </x:row>
    <x:row r="6" ht="22" customHeight="1">
      <x:c r="A6" s="48"/>
      <x:c r="B6" s="46"/>
      <x:c r="C6" s="50"/>
      <x:c r="D6" s="50"/>
      <x:c r="E6" s="56" t="str">
        <x:f>IF(OR(C6="",D6=""),"",D6*10000/C6)</x:f>
      </x:c>
      <x:c r="F6" s="46"/>
      <x:c r="G6" s="46"/>
    </x:row>
    <x:row r="7" ht="22" customHeight="1">
      <x:c r="A7" s="48"/>
      <x:c r="B7" s="46"/>
      <x:c r="C7" s="50"/>
      <x:c r="D7" s="50"/>
      <x:c r="E7" s="56" t="str">
        <x:f>IF(OR(C7="",D7=""),"",D7*10000/C7)</x:f>
      </x:c>
      <x:c r="F7" s="46"/>
      <x:c r="G7" s="46"/>
    </x:row>
    <x:row r="8" ht="22" customHeight="1">
      <x:c r="A8" s="48"/>
      <x:c r="B8" s="46"/>
      <x:c r="C8" s="50"/>
      <x:c r="D8" s="50"/>
      <x:c r="E8" s="56" t="str">
        <x:f>IF(OR(C8="",D8=""),"",D8*10000/C8)</x:f>
      </x:c>
      <x:c r="F8" s="46"/>
      <x:c r="G8" s="46"/>
    </x:row>
    <x:row r="9" ht="22" customHeight="1">
      <x:c r="A9" s="48"/>
      <x:c r="B9" s="46"/>
      <x:c r="C9" s="50"/>
      <x:c r="D9" s="50"/>
      <x:c r="E9" s="56" t="str">
        <x:f>IF(OR(C9="",D9=""),"",D9*10000/C9)</x:f>
      </x:c>
      <x:c r="F9" s="46"/>
      <x:c r="G9" s="46"/>
    </x:row>
    <x:row r="10" ht="22" customHeight="1">
      <x:c r="A10" s="48"/>
      <x:c r="B10" s="46"/>
      <x:c r="C10" s="50"/>
      <x:c r="D10" s="50"/>
      <x:c r="E10" s="56" t="str">
        <x:f>IF(OR(C10="",D10=""),"",D10*10000/C10)</x:f>
      </x:c>
      <x:c r="F10" s="46"/>
      <x:c r="G10" s="46"/>
    </x:row>
    <x:row r="11" ht="22" customHeight="1">
      <x:c r="A11" s="48"/>
      <x:c r="B11" s="46"/>
      <x:c r="C11" s="50"/>
      <x:c r="D11" s="50"/>
      <x:c r="E11" s="56" t="str">
        <x:f>IF(OR(C11="",D11=""),"",D11*10000/C11)</x:f>
      </x:c>
      <x:c r="F11" s="46"/>
      <x:c r="G11" s="46"/>
    </x:row>
    <x:row r="12" ht="22" customHeight="1">
      <x:c r="A12" s="48"/>
      <x:c r="B12" s="46"/>
      <x:c r="C12" s="50"/>
      <x:c r="D12" s="50"/>
      <x:c r="E12" s="56" t="str">
        <x:f>IF(OR(C12="",D12=""),"",D12*10000/C12)</x:f>
      </x:c>
      <x:c r="F12" s="46"/>
      <x:c r="G12" s="46"/>
    </x:row>
    <x:row r="13" ht="22" customHeight="1">
      <x:c r="A13" s="48"/>
      <x:c r="B13" s="46"/>
      <x:c r="C13" s="50"/>
      <x:c r="D13" s="50"/>
      <x:c r="E13" s="56" t="str">
        <x:f>IF(OR(C13="",D13=""),"",D13*10000/C13)</x:f>
      </x:c>
      <x:c r="F13" s="46"/>
      <x:c r="G13" s="46"/>
    </x:row>
    <x:row r="14" ht="22" customHeight="1">
      <x:c r="A14" s="48"/>
      <x:c r="B14" s="46"/>
      <x:c r="C14" s="50"/>
      <x:c r="D14" s="50"/>
      <x:c r="E14" s="56" t="str">
        <x:f>IF(OR(C14="",D14=""),"",D14*10000/C14)</x:f>
      </x:c>
      <x:c r="F14" s="46"/>
      <x:c r="G14" s="46"/>
    </x:row>
    <x:row r="15" ht="22" customHeight="1">
      <x:c r="A15" s="48"/>
      <x:c r="B15" s="46"/>
      <x:c r="C15" s="50"/>
      <x:c r="D15" s="50"/>
      <x:c r="E15" s="56" t="str">
        <x:f>IF(OR(C15="",D15=""),"",D15*10000/C15)</x:f>
      </x:c>
      <x:c r="F15" s="46"/>
      <x:c r="G15" s="46"/>
    </x:row>
    <x:row r="16" ht="22" customHeight="1">
      <x:c r="A16" s="48"/>
      <x:c r="B16" s="46"/>
      <x:c r="C16" s="50"/>
      <x:c r="D16" s="50"/>
      <x:c r="E16" s="56" t="str">
        <x:f>IF(OR(C16="",D16=""),"",D16*10000/C16)</x:f>
      </x:c>
      <x:c r="F16" s="46"/>
      <x:c r="G16" s="46"/>
    </x:row>
    <x:row r="17" ht="22" customHeight="1">
      <x:c r="A17" s="48"/>
      <x:c r="B17" s="46"/>
      <x:c r="C17" s="50"/>
      <x:c r="D17" s="50"/>
      <x:c r="E17" s="56" t="str">
        <x:f>IF(OR(C17="",D17=""),"",D17*10000/C17)</x:f>
      </x:c>
      <x:c r="F17" s="46"/>
      <x:c r="G17" s="46"/>
    </x:row>
    <x:row r="18" ht="22" customHeight="1">
      <x:c r="A18" s="48"/>
      <x:c r="B18" s="46"/>
      <x:c r="C18" s="50"/>
      <x:c r="D18" s="50"/>
      <x:c r="E18" s="56" t="str">
        <x:f>IF(OR(C18="",D18=""),"",D18*10000/C18)</x:f>
      </x:c>
      <x:c r="F18" s="46"/>
      <x:c r="G18" s="46"/>
    </x:row>
    <x:row r="19" ht="22" customHeight="1">
      <x:c r="A19" s="48"/>
      <x:c r="B19" s="46"/>
      <x:c r="C19" s="50"/>
      <x:c r="D19" s="50"/>
      <x:c r="E19" s="56" t="str">
        <x:f>IF(OR(C19="",D19=""),"",D19*10000/C19)</x:f>
      </x:c>
      <x:c r="F19" s="46"/>
      <x:c r="G19" s="46"/>
    </x:row>
    <x:row r="20" ht="22" customHeight="1">
      <x:c r="A20" s="48"/>
      <x:c r="B20" s="46"/>
      <x:c r="C20" s="50"/>
      <x:c r="D20" s="50"/>
      <x:c r="E20" s="56" t="str">
        <x:f>IF(OR(C20="",D20=""),"",D20*10000/C20)</x:f>
      </x:c>
      <x:c r="F20" s="46"/>
      <x:c r="G20" s="46"/>
    </x:row>
    <x:row r="21" ht="22" customHeight="1">
      <x:c r="A21" s="48"/>
      <x:c r="B21" s="46"/>
      <x:c r="C21" s="50"/>
      <x:c r="D21" s="50"/>
      <x:c r="E21" s="56" t="str">
        <x:f>IF(OR(C21="",D21=""),"",D21*10000/C21)</x:f>
      </x:c>
      <x:c r="F21" s="46"/>
      <x:c r="G21" s="46"/>
    </x:row>
    <x:row r="22" ht="22" customHeight="1">
      <x:c r="A22" s="48"/>
      <x:c r="B22" s="46"/>
      <x:c r="C22" s="50"/>
      <x:c r="D22" s="50"/>
      <x:c r="E22" s="56" t="str">
        <x:f>IF(OR(C22="",D22=""),"",D22*10000/C22)</x:f>
      </x:c>
      <x:c r="F22" s="46"/>
      <x:c r="G22" s="46"/>
    </x:row>
    <x:row r="23" ht="22" customHeight="1">
      <x:c r="A23" s="48"/>
      <x:c r="B23" s="46"/>
      <x:c r="C23" s="50"/>
      <x:c r="D23" s="50"/>
      <x:c r="E23" s="56" t="str">
        <x:f>IF(OR(C23="",D23=""),"",D23*10000/C23)</x:f>
      </x:c>
      <x:c r="F23" s="46"/>
      <x:c r="G23" s="46"/>
    </x:row>
    <x:row r="24" ht="22" customHeight="1">
      <x:c r="A24" s="48"/>
      <x:c r="B24" s="46"/>
      <x:c r="C24" s="50"/>
      <x:c r="D24" s="50"/>
      <x:c r="E24" s="56" t="str">
        <x:f>IF(OR(C24="",D24=""),"",D24*10000/C24)</x:f>
      </x:c>
      <x:c r="F24" s="46"/>
      <x:c r="G24" s="46"/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fb40dc454f9e48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>
      <x:c r="A1" s="3" t="str">
        <x:v>中国压榨与库存｜月度</x:v>
      </x:c>
      <x:c r="B1" s="3" t="str">
        <x:v>中国压榨与库存｜月度</x:v>
      </x:c>
      <x:c r="C1" s="3" t="str">
        <x:v>中国压榨与库存｜月度</x:v>
      </x:c>
      <x:c r="D1" s="3" t="str">
        <x:v>中国压榨与库存｜月度</x:v>
      </x:c>
      <x:c r="E1" s="3" t="str">
        <x:v>中国压榨与库存｜月度</x:v>
      </x:c>
      <x:c r="F1" s="3" t="str">
        <x:v>中国压榨与库存｜月度</x:v>
      </x:c>
      <x:c r="G1" s="3" t="str">
        <x:v>中国压榨与库存｜月度</x:v>
      </x:c>
      <x:c r="H1" s="3" t="str">
        <x:v>中国压榨与库存｜月度</x:v>
      </x:c>
      <x:c r="I1" s="3" t="str">
        <x:v>中国压榨与库存｜月度</x:v>
      </x:c>
      <x:c r="J1" s="3" t="str">
        <x:v>中国压榨与库存｜月度</x:v>
      </x:c>
      <x:c r="K1" s="3" t="str">
        <x:v>中国压榨与库存｜月度</x:v>
      </x:c>
      <x:c r="L1" s="3" t="str">
        <x:v>中国压榨与库存｜月度</x:v>
      </x:c>
      <x:c r="M1" s="3" t="str">
        <x:v>中国压榨与库存｜月度</x:v>
      </x:c>
    </x:row>
    <x:row r="2">
      <x:c r="A2" s="3" t="str">
        <x:v>中国压榨与库存｜月度</x:v>
      </x:c>
      <x:c r="B2" s="3" t="str">
        <x:v>中国压榨与库存｜月度</x:v>
      </x:c>
      <x:c r="C2" s="3" t="str">
        <x:v>中国压榨与库存｜月度</x:v>
      </x:c>
      <x:c r="D2" s="3" t="str">
        <x:v>中国压榨与库存｜月度</x:v>
      </x:c>
      <x:c r="E2" s="3" t="str">
        <x:v>中国压榨与库存｜月度</x:v>
      </x:c>
      <x:c r="F2" s="3" t="str">
        <x:v>中国压榨与库存｜月度</x:v>
      </x:c>
      <x:c r="G2" s="3" t="str">
        <x:v>中国压榨与库存｜月度</x:v>
      </x:c>
      <x:c r="H2" s="3" t="str">
        <x:v>中国压榨与库存｜月度</x:v>
      </x:c>
      <x:c r="I2" s="3" t="str">
        <x:v>中国压榨与库存｜月度</x:v>
      </x:c>
      <x:c r="J2" s="3" t="str">
        <x:v>中国压榨与库存｜月度</x:v>
      </x:c>
      <x:c r="K2" s="3" t="str">
        <x:v>中国压榨与库存｜月度</x:v>
      </x:c>
      <x:c r="L2" s="3" t="str">
        <x:v>中国压榨与库存｜月度</x:v>
      </x:c>
      <x:c r="M2" s="3" t="str">
        <x:v>中国压榨与库存｜月度</x:v>
      </x:c>
    </x:row>
    <x:row r="3">
      <x:c r="A3" s="41" t="str">
        <x:v>首选来源：行业资讯、粮油信息中心、港口及油厂样本　</x:v>
      </x:c>
      <x:c r="B3" s="41" t="str">
        <x:v>首选来源：行业资讯、粮油信息中心、港口及油厂样本　</x:v>
      </x:c>
      <x:c r="C3" s="41" t="str">
        <x:v>首选来源：行业资讯、粮油信息中心、港口及油厂样本　</x:v>
      </x:c>
      <x:c r="D3" s="41" t="str">
        <x:v>首选来源：行业资讯、粮油信息中心、港口及油厂样本　</x:v>
      </x:c>
      <x:c r="E3" s="41" t="str">
        <x:v>首选来源：行业资讯、粮油信息中心、港口及油厂样本　</x:v>
      </x:c>
      <x:c r="F3" s="41" t="str">
        <x:v>首选来源：行业资讯、粮油信息中心、港口及油厂样本　</x:v>
      </x:c>
      <x:c r="G3" s="41" t="str">
        <x:v>首选来源：行业资讯、粮油信息中心、港口及油厂样本　</x:v>
      </x:c>
      <x:c r="H3" s="41" t="str">
        <x:v>首选来源：行业资讯、粮油信息中心、港口及油厂样本　</x:v>
      </x:c>
      <x:c r="I3" s="41" t="str">
        <x:v>首选来源：行业资讯、粮油信息中心、港口及油厂样本　</x:v>
      </x:c>
      <x:c r="J3" s="41" t="str">
        <x:v>首选来源：行业资讯、粮油信息中心、港口及油厂样本　</x:v>
      </x:c>
      <x:c r="K3" s="41" t="str">
        <x:v>首选来源：行业资讯、粮油信息中心、港口及油厂样本　</x:v>
      </x:c>
      <x:c r="L3" s="41" t="str">
        <x:v>首选来源：行业资讯、粮油信息中心、港口及油厂样本　</x:v>
      </x:c>
      <x:c r="M3" s="41" t="str">
        <x:v>首选来源：行业资讯、粮油信息中心、港口及油厂样本　</x:v>
      </x:c>
    </x:row>
    <x:row r="4" ht="34" customHeight="1">
      <x:c r="A4" s="6" t="str">
        <x:v>月份
必填</x:v>
      </x:c>
      <x:c r="B4" s="6" t="str">
        <x:v>区域
必填</x:v>
      </x:c>
      <x:c r="C4" s="6" t="str">
        <x:v>大豆到港量
必填</x:v>
      </x:c>
      <x:c r="D4" s="6" t="str">
        <x:v>大豆压榨量
必填</x:v>
      </x:c>
      <x:c r="E4" s="6" t="str">
        <x:v>平均开机率
选填</x:v>
      </x:c>
      <x:c r="F4" s="6" t="str">
        <x:v>港口大豆库存
选填</x:v>
      </x:c>
      <x:c r="G4" s="6" t="str">
        <x:v>油厂大豆库存
必填</x:v>
      </x:c>
      <x:c r="H4" s="6" t="str">
        <x:v>油厂豆粕库存
必填</x:v>
      </x:c>
      <x:c r="I4" s="6" t="str">
        <x:v>豆粕产量
选填</x:v>
      </x:c>
      <x:c r="J4" s="6" t="str">
        <x:v>豆粕未执行合同
选填</x:v>
      </x:c>
      <x:c r="K4" s="6" t="str">
        <x:v>来源机构
必填</x:v>
      </x:c>
      <x:c r="L4" s="6" t="str">
        <x:v>来源网址
选填</x:v>
      </x:c>
      <x:c r="M4" s="6" t="str">
        <x:v>备注
选填</x:v>
      </x:c>
    </x:row>
    <x:row r="5" ht="22" customHeight="1">
      <x:c r="A5" s="47"/>
      <x:c r="B5" s="45"/>
      <x:c r="C5" s="49"/>
      <x:c r="D5" s="49"/>
      <x:c r="E5" s="57"/>
      <x:c r="F5" s="49"/>
      <x:c r="G5" s="49"/>
      <x:c r="H5" s="49"/>
      <x:c r="I5" s="49"/>
      <x:c r="J5" s="49"/>
      <x:c r="K5" s="45"/>
      <x:c r="L5" s="45"/>
      <x:c r="M5" s="45"/>
    </x:row>
    <x:row r="6" ht="22" customHeight="1">
      <x:c r="A6" s="48"/>
      <x:c r="B6" s="46"/>
      <x:c r="C6" s="50"/>
      <x:c r="D6" s="50"/>
      <x:c r="E6" s="58"/>
      <x:c r="F6" s="50"/>
      <x:c r="G6" s="50"/>
      <x:c r="H6" s="50"/>
      <x:c r="I6" s="50"/>
      <x:c r="J6" s="50"/>
      <x:c r="K6" s="46"/>
      <x:c r="L6" s="46"/>
      <x:c r="M6" s="46"/>
    </x:row>
    <x:row r="7" ht="22" customHeight="1">
      <x:c r="A7" s="48"/>
      <x:c r="B7" s="46"/>
      <x:c r="C7" s="50"/>
      <x:c r="D7" s="50"/>
      <x:c r="E7" s="58"/>
      <x:c r="F7" s="50"/>
      <x:c r="G7" s="50"/>
      <x:c r="H7" s="50"/>
      <x:c r="I7" s="50"/>
      <x:c r="J7" s="50"/>
      <x:c r="K7" s="46"/>
      <x:c r="L7" s="46"/>
      <x:c r="M7" s="46"/>
    </x:row>
    <x:row r="8" ht="22" customHeight="1">
      <x:c r="A8" s="48"/>
      <x:c r="B8" s="46"/>
      <x:c r="C8" s="50"/>
      <x:c r="D8" s="50"/>
      <x:c r="E8" s="58"/>
      <x:c r="F8" s="50"/>
      <x:c r="G8" s="50"/>
      <x:c r="H8" s="50"/>
      <x:c r="I8" s="50"/>
      <x:c r="J8" s="50"/>
      <x:c r="K8" s="46"/>
      <x:c r="L8" s="46"/>
      <x:c r="M8" s="46"/>
    </x:row>
    <x:row r="9" ht="22" customHeight="1">
      <x:c r="A9" s="48"/>
      <x:c r="B9" s="46"/>
      <x:c r="C9" s="50"/>
      <x:c r="D9" s="50"/>
      <x:c r="E9" s="58"/>
      <x:c r="F9" s="50"/>
      <x:c r="G9" s="50"/>
      <x:c r="H9" s="50"/>
      <x:c r="I9" s="50"/>
      <x:c r="J9" s="50"/>
      <x:c r="K9" s="46"/>
      <x:c r="L9" s="46"/>
      <x:c r="M9" s="46"/>
    </x:row>
    <x:row r="10" ht="22" customHeight="1">
      <x:c r="A10" s="48"/>
      <x:c r="B10" s="46"/>
      <x:c r="C10" s="50"/>
      <x:c r="D10" s="50"/>
      <x:c r="E10" s="58"/>
      <x:c r="F10" s="50"/>
      <x:c r="G10" s="50"/>
      <x:c r="H10" s="50"/>
      <x:c r="I10" s="50"/>
      <x:c r="J10" s="50"/>
      <x:c r="K10" s="46"/>
      <x:c r="L10" s="46"/>
      <x:c r="M10" s="46"/>
    </x:row>
    <x:row r="11" ht="22" customHeight="1">
      <x:c r="A11" s="48"/>
      <x:c r="B11" s="46"/>
      <x:c r="C11" s="50"/>
      <x:c r="D11" s="50"/>
      <x:c r="E11" s="58"/>
      <x:c r="F11" s="50"/>
      <x:c r="G11" s="50"/>
      <x:c r="H11" s="50"/>
      <x:c r="I11" s="50"/>
      <x:c r="J11" s="50"/>
      <x:c r="K11" s="46"/>
      <x:c r="L11" s="46"/>
      <x:c r="M11" s="46"/>
    </x:row>
    <x:row r="12" ht="22" customHeight="1">
      <x:c r="A12" s="48"/>
      <x:c r="B12" s="46"/>
      <x:c r="C12" s="50"/>
      <x:c r="D12" s="50"/>
      <x:c r="E12" s="58"/>
      <x:c r="F12" s="50"/>
      <x:c r="G12" s="50"/>
      <x:c r="H12" s="50"/>
      <x:c r="I12" s="50"/>
      <x:c r="J12" s="50"/>
      <x:c r="K12" s="46"/>
      <x:c r="L12" s="46"/>
      <x:c r="M12" s="46"/>
    </x:row>
    <x:row r="13" ht="22" customHeight="1">
      <x:c r="A13" s="48"/>
      <x:c r="B13" s="46"/>
      <x:c r="C13" s="50"/>
      <x:c r="D13" s="50"/>
      <x:c r="E13" s="58"/>
      <x:c r="F13" s="50"/>
      <x:c r="G13" s="50"/>
      <x:c r="H13" s="50"/>
      <x:c r="I13" s="50"/>
      <x:c r="J13" s="50"/>
      <x:c r="K13" s="46"/>
      <x:c r="L13" s="46"/>
      <x:c r="M13" s="46"/>
    </x:row>
    <x:row r="14" ht="22" customHeight="1">
      <x:c r="A14" s="48"/>
      <x:c r="B14" s="46"/>
      <x:c r="C14" s="50"/>
      <x:c r="D14" s="50"/>
      <x:c r="E14" s="58"/>
      <x:c r="F14" s="50"/>
      <x:c r="G14" s="50"/>
      <x:c r="H14" s="50"/>
      <x:c r="I14" s="50"/>
      <x:c r="J14" s="50"/>
      <x:c r="K14" s="46"/>
      <x:c r="L14" s="46"/>
      <x:c r="M14" s="46"/>
    </x:row>
    <x:row r="15" ht="22" customHeight="1">
      <x:c r="A15" s="48"/>
      <x:c r="B15" s="46"/>
      <x:c r="C15" s="50"/>
      <x:c r="D15" s="50"/>
      <x:c r="E15" s="58"/>
      <x:c r="F15" s="50"/>
      <x:c r="G15" s="50"/>
      <x:c r="H15" s="50"/>
      <x:c r="I15" s="50"/>
      <x:c r="J15" s="50"/>
      <x:c r="K15" s="46"/>
      <x:c r="L15" s="46"/>
      <x:c r="M15" s="46"/>
    </x:row>
    <x:row r="16" ht="22" customHeight="1">
      <x:c r="A16" s="48"/>
      <x:c r="B16" s="46"/>
      <x:c r="C16" s="50"/>
      <x:c r="D16" s="50"/>
      <x:c r="E16" s="58"/>
      <x:c r="F16" s="50"/>
      <x:c r="G16" s="50"/>
      <x:c r="H16" s="50"/>
      <x:c r="I16" s="50"/>
      <x:c r="J16" s="50"/>
      <x:c r="K16" s="46"/>
      <x:c r="L16" s="46"/>
      <x:c r="M16" s="46"/>
    </x:row>
    <x:row r="17" ht="22" customHeight="1">
      <x:c r="A17" s="48"/>
      <x:c r="B17" s="46"/>
      <x:c r="C17" s="50"/>
      <x:c r="D17" s="50"/>
      <x:c r="E17" s="58"/>
      <x:c r="F17" s="50"/>
      <x:c r="G17" s="50"/>
      <x:c r="H17" s="50"/>
      <x:c r="I17" s="50"/>
      <x:c r="J17" s="50"/>
      <x:c r="K17" s="46"/>
      <x:c r="L17" s="46"/>
      <x:c r="M17" s="46"/>
    </x:row>
    <x:row r="18" ht="22" customHeight="1">
      <x:c r="A18" s="48"/>
      <x:c r="B18" s="46"/>
      <x:c r="C18" s="50"/>
      <x:c r="D18" s="50"/>
      <x:c r="E18" s="58"/>
      <x:c r="F18" s="50"/>
      <x:c r="G18" s="50"/>
      <x:c r="H18" s="50"/>
      <x:c r="I18" s="50"/>
      <x:c r="J18" s="50"/>
      <x:c r="K18" s="46"/>
      <x:c r="L18" s="46"/>
      <x:c r="M18" s="46"/>
    </x:row>
    <x:row r="19" ht="22" customHeight="1">
      <x:c r="A19" s="48"/>
      <x:c r="B19" s="46"/>
      <x:c r="C19" s="50"/>
      <x:c r="D19" s="50"/>
      <x:c r="E19" s="58"/>
      <x:c r="F19" s="50"/>
      <x:c r="G19" s="50"/>
      <x:c r="H19" s="50"/>
      <x:c r="I19" s="50"/>
      <x:c r="J19" s="50"/>
      <x:c r="K19" s="46"/>
      <x:c r="L19" s="46"/>
      <x:c r="M19" s="46"/>
    </x:row>
    <x:row r="20" ht="22" customHeight="1">
      <x:c r="A20" s="48"/>
      <x:c r="B20" s="46"/>
      <x:c r="C20" s="50"/>
      <x:c r="D20" s="50"/>
      <x:c r="E20" s="58"/>
      <x:c r="F20" s="50"/>
      <x:c r="G20" s="50"/>
      <x:c r="H20" s="50"/>
      <x:c r="I20" s="50"/>
      <x:c r="J20" s="50"/>
      <x:c r="K20" s="46"/>
      <x:c r="L20" s="46"/>
      <x:c r="M20" s="46"/>
    </x:row>
    <x:row r="21" ht="22" customHeight="1">
      <x:c r="A21" s="48"/>
      <x:c r="B21" s="46"/>
      <x:c r="C21" s="50"/>
      <x:c r="D21" s="50"/>
      <x:c r="E21" s="58"/>
      <x:c r="F21" s="50"/>
      <x:c r="G21" s="50"/>
      <x:c r="H21" s="50"/>
      <x:c r="I21" s="50"/>
      <x:c r="J21" s="50"/>
      <x:c r="K21" s="46"/>
      <x:c r="L21" s="46"/>
      <x:c r="M21" s="46"/>
    </x:row>
    <x:row r="22" ht="22" customHeight="1">
      <x:c r="A22" s="48"/>
      <x:c r="B22" s="46"/>
      <x:c r="C22" s="50"/>
      <x:c r="D22" s="50"/>
      <x:c r="E22" s="58"/>
      <x:c r="F22" s="50"/>
      <x:c r="G22" s="50"/>
      <x:c r="H22" s="50"/>
      <x:c r="I22" s="50"/>
      <x:c r="J22" s="50"/>
      <x:c r="K22" s="46"/>
      <x:c r="L22" s="46"/>
      <x:c r="M22" s="46"/>
    </x:row>
    <x:row r="23" ht="22" customHeight="1">
      <x:c r="A23" s="48"/>
      <x:c r="B23" s="46"/>
      <x:c r="C23" s="50"/>
      <x:c r="D23" s="50"/>
      <x:c r="E23" s="58"/>
      <x:c r="F23" s="50"/>
      <x:c r="G23" s="50"/>
      <x:c r="H23" s="50"/>
      <x:c r="I23" s="50"/>
      <x:c r="J23" s="50"/>
      <x:c r="K23" s="46"/>
      <x:c r="L23" s="46"/>
      <x:c r="M23" s="46"/>
    </x:row>
    <x:row r="24" ht="22" customHeight="1">
      <x:c r="A24" s="48"/>
      <x:c r="B24" s="46"/>
      <x:c r="C24" s="50"/>
      <x:c r="D24" s="50"/>
      <x:c r="E24" s="58"/>
      <x:c r="F24" s="50"/>
      <x:c r="G24" s="50"/>
      <x:c r="H24" s="50"/>
      <x:c r="I24" s="50"/>
      <x:c r="J24" s="50"/>
      <x:c r="K24" s="46"/>
      <x:c r="L24" s="46"/>
      <x:c r="M24" s="46"/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2ffe68aac7e648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4" hidden="0" customWidth="1"/>
    <x:col min="8" max="8" width="24" hidden="0" customWidth="1"/>
  </x:cols>
  <x:sheetData>
    <x:row r="1">
      <x:c r="A1" s="3" t="str">
        <x:v>饲料产量与结构｜月度</x:v>
      </x:c>
      <x:c r="B1" s="3" t="str">
        <x:v>饲料产量与结构｜月度</x:v>
      </x:c>
      <x:c r="C1" s="3" t="str">
        <x:v>饲料产量与结构｜月度</x:v>
      </x:c>
      <x:c r="D1" s="3" t="str">
        <x:v>饲料产量与结构｜月度</x:v>
      </x:c>
      <x:c r="E1" s="3" t="str">
        <x:v>饲料产量与结构｜月度</x:v>
      </x:c>
      <x:c r="F1" s="3" t="str">
        <x:v>饲料产量与结构｜月度</x:v>
      </x:c>
      <x:c r="G1" s="3" t="str">
        <x:v>饲料产量与结构｜月度</x:v>
      </x:c>
      <x:c r="H1" s="3" t="str">
        <x:v>饲料产量与结构｜月度</x:v>
      </x:c>
    </x:row>
    <x:row r="2">
      <x:c r="A2" s="3" t="str">
        <x:v>饲料产量与结构｜月度</x:v>
      </x:c>
      <x:c r="B2" s="3" t="str">
        <x:v>饲料产量与结构｜月度</x:v>
      </x:c>
      <x:c r="C2" s="3" t="str">
        <x:v>饲料产量与结构｜月度</x:v>
      </x:c>
      <x:c r="D2" s="3" t="str">
        <x:v>饲料产量与结构｜月度</x:v>
      </x:c>
      <x:c r="E2" s="3" t="str">
        <x:v>饲料产量与结构｜月度</x:v>
      </x:c>
      <x:c r="F2" s="3" t="str">
        <x:v>饲料产量与结构｜月度</x:v>
      </x:c>
      <x:c r="G2" s="3" t="str">
        <x:v>饲料产量与结构｜月度</x:v>
      </x:c>
      <x:c r="H2" s="3" t="str">
        <x:v>饲料产量与结构｜月度</x:v>
      </x:c>
    </x:row>
    <x:row r="3">
      <x:c r="A3" s="41" t="str">
        <x:v>首选来源：中国饲料工业协会　https://www.chinafeed.org.cn/</x:v>
      </x:c>
      <x:c r="B3" s="41" t="str">
        <x:v>首选来源：中国饲料工业协会　https://www.chinafeed.org.cn/</x:v>
      </x:c>
      <x:c r="C3" s="41" t="str">
        <x:v>首选来源：中国饲料工业协会　https://www.chinafeed.org.cn/</x:v>
      </x:c>
      <x:c r="D3" s="41" t="str">
        <x:v>首选来源：中国饲料工业协会　https://www.chinafeed.org.cn/</x:v>
      </x:c>
      <x:c r="E3" s="41" t="str">
        <x:v>首选来源：中国饲料工业协会　https://www.chinafeed.org.cn/</x:v>
      </x:c>
      <x:c r="F3" s="41" t="str">
        <x:v>首选来源：中国饲料工业协会　https://www.chinafeed.org.cn/</x:v>
      </x:c>
      <x:c r="G3" s="41" t="str">
        <x:v>首选来源：中国饲料工业协会　https://www.chinafeed.org.cn/</x:v>
      </x:c>
      <x:c r="H3" s="41" t="str">
        <x:v>首选来源：中国饲料工业协会　https://www.chinafeed.org.cn/</x:v>
      </x:c>
    </x:row>
    <x:row r="4" ht="34" customHeight="1">
      <x:c r="A4" s="6" t="str">
        <x:v>月份
必填</x:v>
      </x:c>
      <x:c r="B4" s="6" t="str">
        <x:v>饲料品种
必填</x:v>
      </x:c>
      <x:c r="C4" s="6" t="str">
        <x:v>饲料产量
必填</x:v>
      </x:c>
      <x:c r="D4" s="6" t="str">
        <x:v>同比增速
选填</x:v>
      </x:c>
      <x:c r="E4" s="6" t="str">
        <x:v>豆粕添加率假设
选填</x:v>
      </x:c>
      <x:c r="F4" s="6" t="str">
        <x:v>估算豆粕需求
自动</x:v>
      </x:c>
      <x:c r="G4" s="6" t="str">
        <x:v>来源网址
必填</x:v>
      </x:c>
      <x:c r="H4" s="6" t="str">
        <x:v>备注
选填</x:v>
      </x:c>
    </x:row>
    <x:row r="5" ht="22" customHeight="1">
      <x:c r="A5" s="47"/>
      <x:c r="B5" s="45"/>
      <x:c r="C5" s="49"/>
      <x:c r="D5" s="57"/>
      <x:c r="E5" s="57"/>
      <x:c r="F5" s="55" t="str">
        <x:f>IF(OR(C5="",E5=""),"",C5*E5)</x:f>
      </x:c>
      <x:c r="G5" s="45"/>
      <x:c r="H5" s="45"/>
    </x:row>
    <x:row r="6" ht="22" customHeight="1">
      <x:c r="A6" s="48"/>
      <x:c r="B6" s="46"/>
      <x:c r="C6" s="50"/>
      <x:c r="D6" s="58"/>
      <x:c r="E6" s="58"/>
      <x:c r="F6" s="56" t="str">
        <x:f>IF(OR(C6="",E6=""),"",C6*E6)</x:f>
      </x:c>
      <x:c r="G6" s="46"/>
      <x:c r="H6" s="46"/>
    </x:row>
    <x:row r="7" ht="22" customHeight="1">
      <x:c r="A7" s="48"/>
      <x:c r="B7" s="46"/>
      <x:c r="C7" s="50"/>
      <x:c r="D7" s="58"/>
      <x:c r="E7" s="58"/>
      <x:c r="F7" s="56" t="str">
        <x:f>IF(OR(C7="",E7=""),"",C7*E7)</x:f>
      </x:c>
      <x:c r="G7" s="46"/>
      <x:c r="H7" s="46"/>
    </x:row>
    <x:row r="8" ht="22" customHeight="1">
      <x:c r="A8" s="48"/>
      <x:c r="B8" s="46"/>
      <x:c r="C8" s="50"/>
      <x:c r="D8" s="58"/>
      <x:c r="E8" s="58"/>
      <x:c r="F8" s="56" t="str">
        <x:f>IF(OR(C8="",E8=""),"",C8*E8)</x:f>
      </x:c>
      <x:c r="G8" s="46"/>
      <x:c r="H8" s="46"/>
    </x:row>
    <x:row r="9" ht="22" customHeight="1">
      <x:c r="A9" s="48"/>
      <x:c r="B9" s="46"/>
      <x:c r="C9" s="50"/>
      <x:c r="D9" s="58"/>
      <x:c r="E9" s="58"/>
      <x:c r="F9" s="56" t="str">
        <x:f>IF(OR(C9="",E9=""),"",C9*E9)</x:f>
      </x:c>
      <x:c r="G9" s="46"/>
      <x:c r="H9" s="46"/>
    </x:row>
    <x:row r="10" ht="22" customHeight="1">
      <x:c r="A10" s="48"/>
      <x:c r="B10" s="46"/>
      <x:c r="C10" s="50"/>
      <x:c r="D10" s="58"/>
      <x:c r="E10" s="58"/>
      <x:c r="F10" s="56" t="str">
        <x:f>IF(OR(C10="",E10=""),"",C10*E10)</x:f>
      </x:c>
      <x:c r="G10" s="46"/>
      <x:c r="H10" s="46"/>
    </x:row>
    <x:row r="11" ht="22" customHeight="1">
      <x:c r="A11" s="48"/>
      <x:c r="B11" s="46"/>
      <x:c r="C11" s="50"/>
      <x:c r="D11" s="58"/>
      <x:c r="E11" s="58"/>
      <x:c r="F11" s="56" t="str">
        <x:f>IF(OR(C11="",E11=""),"",C11*E11)</x:f>
      </x:c>
      <x:c r="G11" s="46"/>
      <x:c r="H11" s="46"/>
    </x:row>
    <x:row r="12" ht="22" customHeight="1">
      <x:c r="A12" s="48"/>
      <x:c r="B12" s="46"/>
      <x:c r="C12" s="50"/>
      <x:c r="D12" s="58"/>
      <x:c r="E12" s="58"/>
      <x:c r="F12" s="56" t="str">
        <x:f>IF(OR(C12="",E12=""),"",C12*E12)</x:f>
      </x:c>
      <x:c r="G12" s="46"/>
      <x:c r="H12" s="46"/>
    </x:row>
    <x:row r="13" ht="22" customHeight="1">
      <x:c r="A13" s="48"/>
      <x:c r="B13" s="46"/>
      <x:c r="C13" s="50"/>
      <x:c r="D13" s="58"/>
      <x:c r="E13" s="58"/>
      <x:c r="F13" s="56" t="str">
        <x:f>IF(OR(C13="",E13=""),"",C13*E13)</x:f>
      </x:c>
      <x:c r="G13" s="46"/>
      <x:c r="H13" s="46"/>
    </x:row>
    <x:row r="14" ht="22" customHeight="1">
      <x:c r="A14" s="48"/>
      <x:c r="B14" s="46"/>
      <x:c r="C14" s="50"/>
      <x:c r="D14" s="58"/>
      <x:c r="E14" s="58"/>
      <x:c r="F14" s="56" t="str">
        <x:f>IF(OR(C14="",E14=""),"",C14*E14)</x:f>
      </x:c>
      <x:c r="G14" s="46"/>
      <x:c r="H14" s="46"/>
    </x:row>
    <x:row r="15" ht="22" customHeight="1">
      <x:c r="A15" s="48"/>
      <x:c r="B15" s="46"/>
      <x:c r="C15" s="50"/>
      <x:c r="D15" s="58"/>
      <x:c r="E15" s="58"/>
      <x:c r="F15" s="56" t="str">
        <x:f>IF(OR(C15="",E15=""),"",C15*E15)</x:f>
      </x:c>
      <x:c r="G15" s="46"/>
      <x:c r="H15" s="46"/>
    </x:row>
    <x:row r="16" ht="22" customHeight="1">
      <x:c r="A16" s="48"/>
      <x:c r="B16" s="46"/>
      <x:c r="C16" s="50"/>
      <x:c r="D16" s="58"/>
      <x:c r="E16" s="58"/>
      <x:c r="F16" s="56" t="str">
        <x:f>IF(OR(C16="",E16=""),"",C16*E16)</x:f>
      </x:c>
      <x:c r="G16" s="46"/>
      <x:c r="H16" s="46"/>
    </x:row>
    <x:row r="17" ht="22" customHeight="1">
      <x:c r="A17" s="48"/>
      <x:c r="B17" s="46"/>
      <x:c r="C17" s="50"/>
      <x:c r="D17" s="58"/>
      <x:c r="E17" s="58"/>
      <x:c r="F17" s="56" t="str">
        <x:f>IF(OR(C17="",E17=""),"",C17*E17)</x:f>
      </x:c>
      <x:c r="G17" s="46"/>
      <x:c r="H17" s="46"/>
    </x:row>
    <x:row r="18" ht="22" customHeight="1">
      <x:c r="A18" s="48"/>
      <x:c r="B18" s="46"/>
      <x:c r="C18" s="50"/>
      <x:c r="D18" s="58"/>
      <x:c r="E18" s="58"/>
      <x:c r="F18" s="56" t="str">
        <x:f>IF(OR(C18="",E18=""),"",C18*E18)</x:f>
      </x:c>
      <x:c r="G18" s="46"/>
      <x:c r="H18" s="46"/>
    </x:row>
    <x:row r="19" ht="22" customHeight="1">
      <x:c r="A19" s="48"/>
      <x:c r="B19" s="46"/>
      <x:c r="C19" s="50"/>
      <x:c r="D19" s="58"/>
      <x:c r="E19" s="58"/>
      <x:c r="F19" s="56" t="str">
        <x:f>IF(OR(C19="",E19=""),"",C19*E19)</x:f>
      </x:c>
      <x:c r="G19" s="46"/>
      <x:c r="H19" s="46"/>
    </x:row>
    <x:row r="20" ht="22" customHeight="1">
      <x:c r="A20" s="48"/>
      <x:c r="B20" s="46"/>
      <x:c r="C20" s="50"/>
      <x:c r="D20" s="58"/>
      <x:c r="E20" s="58"/>
      <x:c r="F20" s="56" t="str">
        <x:f>IF(OR(C20="",E20=""),"",C20*E20)</x:f>
      </x:c>
      <x:c r="G20" s="46"/>
      <x:c r="H20" s="46"/>
    </x:row>
    <x:row r="21" ht="22" customHeight="1">
      <x:c r="A21" s="48"/>
      <x:c r="B21" s="46"/>
      <x:c r="C21" s="50"/>
      <x:c r="D21" s="58"/>
      <x:c r="E21" s="58"/>
      <x:c r="F21" s="56" t="str">
        <x:f>IF(OR(C21="",E21=""),"",C21*E21)</x:f>
      </x:c>
      <x:c r="G21" s="46"/>
      <x:c r="H21" s="46"/>
    </x:row>
    <x:row r="22" ht="22" customHeight="1">
      <x:c r="A22" s="48"/>
      <x:c r="B22" s="46"/>
      <x:c r="C22" s="50"/>
      <x:c r="D22" s="58"/>
      <x:c r="E22" s="58"/>
      <x:c r="F22" s="56" t="str">
        <x:f>IF(OR(C22="",E22=""),"",C22*E22)</x:f>
      </x:c>
      <x:c r="G22" s="46"/>
      <x:c r="H22" s="46"/>
    </x:row>
    <x:row r="23" ht="22" customHeight="1">
      <x:c r="A23" s="48"/>
      <x:c r="B23" s="46"/>
      <x:c r="C23" s="50"/>
      <x:c r="D23" s="58"/>
      <x:c r="E23" s="58"/>
      <x:c r="F23" s="56" t="str">
        <x:f>IF(OR(C23="",E23=""),"",C23*E23)</x:f>
      </x:c>
      <x:c r="G23" s="46"/>
      <x:c r="H23" s="46"/>
    </x:row>
    <x:row r="24" ht="22" customHeight="1">
      <x:c r="A24" s="48"/>
      <x:c r="B24" s="46"/>
      <x:c r="C24" s="50"/>
      <x:c r="D24" s="58"/>
      <x:c r="E24" s="58"/>
      <x:c r="F24" s="56" t="str">
        <x:f>IF(OR(C24="",E24=""),"",C24*E24)</x:f>
      </x:c>
      <x:c r="G24" s="46"/>
      <x:c r="H24" s="46"/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21270ded302a40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养殖存栏与供给指标｜月度</x:v>
      </x:c>
      <x:c r="B1" s="3" t="str">
        <x:v>养殖存栏与供给指标｜月度</x:v>
      </x:c>
      <x:c r="C1" s="3" t="str">
        <x:v>养殖存栏与供给指标｜月度</x:v>
      </x:c>
      <x:c r="D1" s="3" t="str">
        <x:v>养殖存栏与供给指标｜月度</x:v>
      </x:c>
      <x:c r="E1" s="3" t="str">
        <x:v>养殖存栏与供给指标｜月度</x:v>
      </x:c>
      <x:c r="F1" s="3" t="str">
        <x:v>养殖存栏与供给指标｜月度</x:v>
      </x:c>
      <x:c r="G1" s="3" t="str">
        <x:v>养殖存栏与供给指标｜月度</x:v>
      </x:c>
      <x:c r="H1" s="3" t="str">
        <x:v>养殖存栏与供给指标｜月度</x:v>
      </x:c>
      <x:c r="I1" s="3" t="str">
        <x:v>养殖存栏与供给指标｜月度</x:v>
      </x:c>
      <x:c r="J1" s="3" t="str">
        <x:v>养殖存栏与供给指标｜月度</x:v>
      </x:c>
    </x:row>
    <x:row r="2">
      <x:c r="A2" s="3" t="str">
        <x:v>养殖存栏与供给指标｜月度</x:v>
      </x:c>
      <x:c r="B2" s="3" t="str">
        <x:v>养殖存栏与供给指标｜月度</x:v>
      </x:c>
      <x:c r="C2" s="3" t="str">
        <x:v>养殖存栏与供给指标｜月度</x:v>
      </x:c>
      <x:c r="D2" s="3" t="str">
        <x:v>养殖存栏与供给指标｜月度</x:v>
      </x:c>
      <x:c r="E2" s="3" t="str">
        <x:v>养殖存栏与供给指标｜月度</x:v>
      </x:c>
      <x:c r="F2" s="3" t="str">
        <x:v>养殖存栏与供给指标｜月度</x:v>
      </x:c>
      <x:c r="G2" s="3" t="str">
        <x:v>养殖存栏与供给指标｜月度</x:v>
      </x:c>
      <x:c r="H2" s="3" t="str">
        <x:v>养殖存栏与供给指标｜月度</x:v>
      </x:c>
      <x:c r="I2" s="3" t="str">
        <x:v>养殖存栏与供给指标｜月度</x:v>
      </x:c>
      <x:c r="J2" s="3" t="str">
        <x:v>养殖存栏与供给指标｜月度</x:v>
      </x:c>
    </x:row>
    <x:row r="3">
      <x:c r="A3" s="41" t="str">
        <x:v>首选来源：国家统计局、农业农村部、行业资料　https://www.moa.gov.cn/ztzl/szcpxx/jdsj/</x:v>
      </x:c>
      <x:c r="B3" s="41" t="str">
        <x:v>首选来源：国家统计局、农业农村部、行业资料　https://www.moa.gov.cn/ztzl/szcpxx/jdsj/</x:v>
      </x:c>
      <x:c r="C3" s="41" t="str">
        <x:v>首选来源：国家统计局、农业农村部、行业资料　https://www.moa.gov.cn/ztzl/szcpxx/jdsj/</x:v>
      </x:c>
      <x:c r="D3" s="41" t="str">
        <x:v>首选来源：国家统计局、农业农村部、行业资料　https://www.moa.gov.cn/ztzl/szcpxx/jdsj/</x:v>
      </x:c>
      <x:c r="E3" s="41" t="str">
        <x:v>首选来源：国家统计局、农业农村部、行业资料　https://www.moa.gov.cn/ztzl/szcpxx/jdsj/</x:v>
      </x:c>
      <x:c r="F3" s="41" t="str">
        <x:v>首选来源：国家统计局、农业农村部、行业资料　https://www.moa.gov.cn/ztzl/szcpxx/jdsj/</x:v>
      </x:c>
      <x:c r="G3" s="41" t="str">
        <x:v>首选来源：国家统计局、农业农村部、行业资料　https://www.moa.gov.cn/ztzl/szcpxx/jdsj/</x:v>
      </x:c>
      <x:c r="H3" s="41" t="str">
        <x:v>首选来源：国家统计局、农业农村部、行业资料　https://www.moa.gov.cn/ztzl/szcpxx/jdsj/</x:v>
      </x:c>
      <x:c r="I3" s="41" t="str">
        <x:v>首选来源：国家统计局、农业农村部、行业资料　https://www.moa.gov.cn/ztzl/szcpxx/jdsj/</x:v>
      </x:c>
      <x:c r="J3" s="41" t="str">
        <x:v>首选来源：国家统计局、农业农村部、行业资料　https://www.moa.gov.cn/ztzl/szcpxx/jdsj/</x:v>
      </x:c>
    </x:row>
    <x:row r="4" ht="34" customHeight="1">
      <x:c r="A4" s="6" t="str">
        <x:v>月份
必填</x:v>
      </x:c>
      <x:c r="B4" s="6" t="str">
        <x:v>生猪存栏
必填</x:v>
      </x:c>
      <x:c r="C4" s="6" t="str">
        <x:v>能繁母猪存栏
必填</x:v>
      </x:c>
      <x:c r="D4" s="6" t="str">
        <x:v>生猪出栏/屠宰量
选填</x:v>
      </x:c>
      <x:c r="E4" s="6" t="str">
        <x:v>肉鸡存栏或补栏
选填</x:v>
      </x:c>
      <x:c r="F4" s="6" t="str">
        <x:v>蛋鸡存栏或补栏
选填</x:v>
      </x:c>
      <x:c r="G4" s="6" t="str">
        <x:v>水产养殖景气或投苗指数
选填</x:v>
      </x:c>
      <x:c r="H4" s="6" t="str">
        <x:v>来源机构
必填</x:v>
      </x:c>
      <x:c r="I4" s="6" t="str">
        <x:v>来源网址
必填</x:v>
      </x:c>
      <x:c r="J4" s="6" t="str">
        <x:v>备注
选填</x:v>
      </x:c>
    </x:row>
    <x:row r="5" ht="22" customHeight="1">
      <x:c r="A5" s="47"/>
      <x:c r="B5" s="49"/>
      <x:c r="C5" s="49"/>
      <x:c r="D5" s="49"/>
      <x:c r="E5" s="49"/>
      <x:c r="F5" s="49"/>
      <x:c r="G5" s="49"/>
      <x:c r="H5" s="45"/>
      <x:c r="I5" s="45"/>
      <x:c r="J5" s="45"/>
    </x:row>
    <x:row r="6" ht="22" customHeight="1">
      <x:c r="A6" s="48"/>
      <x:c r="B6" s="50"/>
      <x:c r="C6" s="50"/>
      <x:c r="D6" s="50"/>
      <x:c r="E6" s="50"/>
      <x:c r="F6" s="50"/>
      <x:c r="G6" s="50"/>
      <x:c r="H6" s="46"/>
      <x:c r="I6" s="46"/>
      <x:c r="J6" s="46"/>
    </x:row>
    <x:row r="7" ht="22" customHeight="1">
      <x:c r="A7" s="48"/>
      <x:c r="B7" s="50"/>
      <x:c r="C7" s="50"/>
      <x:c r="D7" s="50"/>
      <x:c r="E7" s="50"/>
      <x:c r="F7" s="50"/>
      <x:c r="G7" s="50"/>
      <x:c r="H7" s="46"/>
      <x:c r="I7" s="46"/>
      <x:c r="J7" s="46"/>
    </x:row>
    <x:row r="8" ht="22" customHeight="1">
      <x:c r="A8" s="48"/>
      <x:c r="B8" s="50"/>
      <x:c r="C8" s="50"/>
      <x:c r="D8" s="50"/>
      <x:c r="E8" s="50"/>
      <x:c r="F8" s="50"/>
      <x:c r="G8" s="50"/>
      <x:c r="H8" s="46"/>
      <x:c r="I8" s="46"/>
      <x:c r="J8" s="46"/>
    </x:row>
    <x:row r="9" ht="22" customHeight="1">
      <x:c r="A9" s="48"/>
      <x:c r="B9" s="50"/>
      <x:c r="C9" s="50"/>
      <x:c r="D9" s="50"/>
      <x:c r="E9" s="50"/>
      <x:c r="F9" s="50"/>
      <x:c r="G9" s="50"/>
      <x:c r="H9" s="46"/>
      <x:c r="I9" s="46"/>
      <x:c r="J9" s="46"/>
    </x:row>
    <x:row r="10" ht="22" customHeight="1">
      <x:c r="A10" s="48"/>
      <x:c r="B10" s="50"/>
      <x:c r="C10" s="50"/>
      <x:c r="D10" s="50"/>
      <x:c r="E10" s="50"/>
      <x:c r="F10" s="50"/>
      <x:c r="G10" s="50"/>
      <x:c r="H10" s="46"/>
      <x:c r="I10" s="46"/>
      <x:c r="J10" s="46"/>
    </x:row>
    <x:row r="11" ht="22" customHeight="1">
      <x:c r="A11" s="48"/>
      <x:c r="B11" s="50"/>
      <x:c r="C11" s="50"/>
      <x:c r="D11" s="50"/>
      <x:c r="E11" s="50"/>
      <x:c r="F11" s="50"/>
      <x:c r="G11" s="50"/>
      <x:c r="H11" s="46"/>
      <x:c r="I11" s="46"/>
      <x:c r="J11" s="46"/>
    </x:row>
    <x:row r="12" ht="22" customHeight="1">
      <x:c r="A12" s="48"/>
      <x:c r="B12" s="50"/>
      <x:c r="C12" s="50"/>
      <x:c r="D12" s="50"/>
      <x:c r="E12" s="50"/>
      <x:c r="F12" s="50"/>
      <x:c r="G12" s="50"/>
      <x:c r="H12" s="46"/>
      <x:c r="I12" s="46"/>
      <x:c r="J12" s="46"/>
    </x:row>
    <x:row r="13" ht="22" customHeight="1">
      <x:c r="A13" s="48"/>
      <x:c r="B13" s="50"/>
      <x:c r="C13" s="50"/>
      <x:c r="D13" s="50"/>
      <x:c r="E13" s="50"/>
      <x:c r="F13" s="50"/>
      <x:c r="G13" s="50"/>
      <x:c r="H13" s="46"/>
      <x:c r="I13" s="46"/>
      <x:c r="J13" s="46"/>
    </x:row>
    <x:row r="14" ht="22" customHeight="1">
      <x:c r="A14" s="48"/>
      <x:c r="B14" s="50"/>
      <x:c r="C14" s="50"/>
      <x:c r="D14" s="50"/>
      <x:c r="E14" s="50"/>
      <x:c r="F14" s="50"/>
      <x:c r="G14" s="50"/>
      <x:c r="H14" s="46"/>
      <x:c r="I14" s="46"/>
      <x:c r="J14" s="46"/>
    </x:row>
    <x:row r="15" ht="22" customHeight="1">
      <x:c r="A15" s="48"/>
      <x:c r="B15" s="50"/>
      <x:c r="C15" s="50"/>
      <x:c r="D15" s="50"/>
      <x:c r="E15" s="50"/>
      <x:c r="F15" s="50"/>
      <x:c r="G15" s="50"/>
      <x:c r="H15" s="46"/>
      <x:c r="I15" s="46"/>
      <x:c r="J15" s="46"/>
    </x:row>
    <x:row r="16" ht="22" customHeight="1">
      <x:c r="A16" s="48"/>
      <x:c r="B16" s="50"/>
      <x:c r="C16" s="50"/>
      <x:c r="D16" s="50"/>
      <x:c r="E16" s="50"/>
      <x:c r="F16" s="50"/>
      <x:c r="G16" s="50"/>
      <x:c r="H16" s="46"/>
      <x:c r="I16" s="46"/>
      <x:c r="J16" s="46"/>
    </x:row>
    <x:row r="17" ht="22" customHeight="1">
      <x:c r="A17" s="48"/>
      <x:c r="B17" s="50"/>
      <x:c r="C17" s="50"/>
      <x:c r="D17" s="50"/>
      <x:c r="E17" s="50"/>
      <x:c r="F17" s="50"/>
      <x:c r="G17" s="50"/>
      <x:c r="H17" s="46"/>
      <x:c r="I17" s="46"/>
      <x:c r="J17" s="46"/>
    </x:row>
    <x:row r="18" ht="22" customHeight="1">
      <x:c r="A18" s="48"/>
      <x:c r="B18" s="50"/>
      <x:c r="C18" s="50"/>
      <x:c r="D18" s="50"/>
      <x:c r="E18" s="50"/>
      <x:c r="F18" s="50"/>
      <x:c r="G18" s="50"/>
      <x:c r="H18" s="46"/>
      <x:c r="I18" s="46"/>
      <x:c r="J18" s="46"/>
    </x:row>
    <x:row r="19" ht="22" customHeight="1">
      <x:c r="A19" s="48"/>
      <x:c r="B19" s="50"/>
      <x:c r="C19" s="50"/>
      <x:c r="D19" s="50"/>
      <x:c r="E19" s="50"/>
      <x:c r="F19" s="50"/>
      <x:c r="G19" s="50"/>
      <x:c r="H19" s="46"/>
      <x:c r="I19" s="46"/>
      <x:c r="J19" s="46"/>
    </x:row>
    <x:row r="20" ht="22" customHeight="1">
      <x:c r="A20" s="48"/>
      <x:c r="B20" s="50"/>
      <x:c r="C20" s="50"/>
      <x:c r="D20" s="50"/>
      <x:c r="E20" s="50"/>
      <x:c r="F20" s="50"/>
      <x:c r="G20" s="50"/>
      <x:c r="H20" s="46"/>
      <x:c r="I20" s="46"/>
      <x:c r="J20" s="46"/>
    </x:row>
    <x:row r="21" ht="22" customHeight="1">
      <x:c r="A21" s="48"/>
      <x:c r="B21" s="50"/>
      <x:c r="C21" s="50"/>
      <x:c r="D21" s="50"/>
      <x:c r="E21" s="50"/>
      <x:c r="F21" s="50"/>
      <x:c r="G21" s="50"/>
      <x:c r="H21" s="46"/>
      <x:c r="I21" s="46"/>
      <x:c r="J21" s="46"/>
    </x:row>
    <x:row r="22" ht="22" customHeight="1">
      <x:c r="A22" s="48"/>
      <x:c r="B22" s="50"/>
      <x:c r="C22" s="50"/>
      <x:c r="D22" s="50"/>
      <x:c r="E22" s="50"/>
      <x:c r="F22" s="50"/>
      <x:c r="G22" s="50"/>
      <x:c r="H22" s="46"/>
      <x:c r="I22" s="46"/>
      <x:c r="J22" s="46"/>
    </x:row>
    <x:row r="23" ht="22" customHeight="1">
      <x:c r="A23" s="48"/>
      <x:c r="B23" s="50"/>
      <x:c r="C23" s="50"/>
      <x:c r="D23" s="50"/>
      <x:c r="E23" s="50"/>
      <x:c r="F23" s="50"/>
      <x:c r="G23" s="50"/>
      <x:c r="H23" s="46"/>
      <x:c r="I23" s="46"/>
      <x:c r="J23" s="46"/>
    </x:row>
    <x:row r="24" ht="22" customHeight="1">
      <x:c r="A24" s="48"/>
      <x:c r="B24" s="50"/>
      <x:c r="C24" s="50"/>
      <x:c r="D24" s="50"/>
      <x:c r="E24" s="50"/>
      <x:c r="F24" s="50"/>
      <x:c r="G24" s="50"/>
      <x:c r="H24" s="46"/>
      <x:c r="I24" s="46"/>
      <x:c r="J24" s="46"/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59979c50996043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4" hidden="0" customWidth="1"/>
    <x:col min="13" max="13" width="24" hidden="0" customWidth="1"/>
  </x:cols>
  <x:sheetData>
    <x:row r="1">
      <x:c r="A1" s="3" t="str">
        <x:v>价格、基差与相关市场｜月度</x:v>
      </x:c>
      <x:c r="B1" s="3" t="str">
        <x:v>价格、基差与相关市场｜月度</x:v>
      </x:c>
      <x:c r="C1" s="3" t="str">
        <x:v>价格、基差与相关市场｜月度</x:v>
      </x:c>
      <x:c r="D1" s="3" t="str">
        <x:v>价格、基差与相关市场｜月度</x:v>
      </x:c>
      <x:c r="E1" s="3" t="str">
        <x:v>价格、基差与相关市场｜月度</x:v>
      </x:c>
      <x:c r="F1" s="3" t="str">
        <x:v>价格、基差与相关市场｜月度</x:v>
      </x:c>
      <x:c r="G1" s="3" t="str">
        <x:v>价格、基差与相关市场｜月度</x:v>
      </x:c>
      <x:c r="H1" s="3" t="str">
        <x:v>价格、基差与相关市场｜月度</x:v>
      </x:c>
      <x:c r="I1" s="3" t="str">
        <x:v>价格、基差与相关市场｜月度</x:v>
      </x:c>
      <x:c r="J1" s="3" t="str">
        <x:v>价格、基差与相关市场｜月度</x:v>
      </x:c>
      <x:c r="K1" s="3" t="str">
        <x:v>价格、基差与相关市场｜月度</x:v>
      </x:c>
      <x:c r="L1" s="3" t="str">
        <x:v>价格、基差与相关市场｜月度</x:v>
      </x:c>
      <x:c r="M1" s="3" t="str">
        <x:v>价格、基差与相关市场｜月度</x:v>
      </x:c>
    </x:row>
    <x:row r="2">
      <x:c r="A2" s="3" t="str">
        <x:v>价格、基差与相关市场｜月度</x:v>
      </x:c>
      <x:c r="B2" s="3" t="str">
        <x:v>价格、基差与相关市场｜月度</x:v>
      </x:c>
      <x:c r="C2" s="3" t="str">
        <x:v>价格、基差与相关市场｜月度</x:v>
      </x:c>
      <x:c r="D2" s="3" t="str">
        <x:v>价格、基差与相关市场｜月度</x:v>
      </x:c>
      <x:c r="E2" s="3" t="str">
        <x:v>价格、基差与相关市场｜月度</x:v>
      </x:c>
      <x:c r="F2" s="3" t="str">
        <x:v>价格、基差与相关市场｜月度</x:v>
      </x:c>
      <x:c r="G2" s="3" t="str">
        <x:v>价格、基差与相关市场｜月度</x:v>
      </x:c>
      <x:c r="H2" s="3" t="str">
        <x:v>价格、基差与相关市场｜月度</x:v>
      </x:c>
      <x:c r="I2" s="3" t="str">
        <x:v>价格、基差与相关市场｜月度</x:v>
      </x:c>
      <x:c r="J2" s="3" t="str">
        <x:v>价格、基差与相关市场｜月度</x:v>
      </x:c>
      <x:c r="K2" s="3" t="str">
        <x:v>价格、基差与相关市场｜月度</x:v>
      </x:c>
      <x:c r="L2" s="3" t="str">
        <x:v>价格、基差与相关市场｜月度</x:v>
      </x:c>
      <x:c r="M2" s="3" t="str">
        <x:v>价格、基差与相关市场｜月度</x:v>
      </x:c>
    </x:row>
    <x:row r="3">
      <x:c r="A3" s="41" t="str">
        <x:v>首选来源：DCE、CME、现货报价、外汇及运费数据　https://www.dce.com.cn/</x:v>
      </x:c>
      <x:c r="B3" s="41" t="str">
        <x:v>首选来源：DCE、CME、现货报价、外汇及运费数据　https://www.dce.com.cn/</x:v>
      </x:c>
      <x:c r="C3" s="41" t="str">
        <x:v>首选来源：DCE、CME、现货报价、外汇及运费数据　https://www.dce.com.cn/</x:v>
      </x:c>
      <x:c r="D3" s="41" t="str">
        <x:v>首选来源：DCE、CME、现货报价、外汇及运费数据　https://www.dce.com.cn/</x:v>
      </x:c>
      <x:c r="E3" s="41" t="str">
        <x:v>首选来源：DCE、CME、现货报价、外汇及运费数据　https://www.dce.com.cn/</x:v>
      </x:c>
      <x:c r="F3" s="41" t="str">
        <x:v>首选来源：DCE、CME、现货报价、外汇及运费数据　https://www.dce.com.cn/</x:v>
      </x:c>
      <x:c r="G3" s="41" t="str">
        <x:v>首选来源：DCE、CME、现货报价、外汇及运费数据　https://www.dce.com.cn/</x:v>
      </x:c>
      <x:c r="H3" s="41" t="str">
        <x:v>首选来源：DCE、CME、现货报价、外汇及运费数据　https://www.dce.com.cn/</x:v>
      </x:c>
      <x:c r="I3" s="41" t="str">
        <x:v>首选来源：DCE、CME、现货报价、外汇及运费数据　https://www.dce.com.cn/</x:v>
      </x:c>
      <x:c r="J3" s="41" t="str">
        <x:v>首选来源：DCE、CME、现货报价、外汇及运费数据　https://www.dce.com.cn/</x:v>
      </x:c>
      <x:c r="K3" s="41" t="str">
        <x:v>首选来源：DCE、CME、现货报价、外汇及运费数据　https://www.dce.com.cn/</x:v>
      </x:c>
      <x:c r="L3" s="41" t="str">
        <x:v>首选来源：DCE、CME、现货报价、外汇及运费数据　https://www.dce.com.cn/</x:v>
      </x:c>
      <x:c r="M3" s="41" t="str">
        <x:v>首选来源：DCE、CME、现货报价、外汇及运费数据　https://www.dce.com.cn/</x:v>
      </x:c>
    </x:row>
    <x:row r="4" ht="34" customHeight="1">
      <x:c r="A4" s="6" t="str">
        <x:v>月份
必填</x:v>
      </x:c>
      <x:c r="B4" s="6" t="str">
        <x:v>现货区域
必填</x:v>
      </x:c>
      <x:c r="C4" s="6" t="str">
        <x:v>豆粕期货月均价
必填</x:v>
      </x:c>
      <x:c r="D4" s="6" t="str">
        <x:v>豆粕期货月末价
必填</x:v>
      </x:c>
      <x:c r="E4" s="6" t="str">
        <x:v>豆粕现货月均价
必填</x:v>
      </x:c>
      <x:c r="F4" s="6" t="str">
        <x:v>月均基差
自动</x:v>
      </x:c>
      <x:c r="G4" s="6" t="str">
        <x:v>CBOT大豆月均价
必填</x:v>
      </x:c>
      <x:c r="H4" s="6" t="str">
        <x:v>豆油月均价
选填</x:v>
      </x:c>
      <x:c r="I4" s="6" t="str">
        <x:v>玉米月均价
选填</x:v>
      </x:c>
      <x:c r="J4" s="6" t="str">
        <x:v>美元兑人民币月均汇率
必填</x:v>
      </x:c>
      <x:c r="K4" s="6" t="str">
        <x:v>海运费月均值
选填</x:v>
      </x:c>
      <x:c r="L4" s="6" t="str">
        <x:v>来源网址
必填</x:v>
      </x:c>
      <x:c r="M4" s="6" t="str">
        <x:v>备注
选填</x:v>
      </x:c>
    </x:row>
    <x:row r="5" ht="22" customHeight="1">
      <x:c r="A5" s="47"/>
      <x:c r="B5" s="45"/>
      <x:c r="C5" s="49"/>
      <x:c r="D5" s="49"/>
      <x:c r="E5" s="49"/>
      <x:c r="F5" s="55" t="str">
        <x:f>IF(OR(C5="",E5=""),"",E5-C5)</x:f>
      </x:c>
      <x:c r="G5" s="49"/>
      <x:c r="H5" s="49"/>
      <x:c r="I5" s="49"/>
      <x:c r="J5" s="49"/>
      <x:c r="K5" s="49"/>
      <x:c r="L5" s="45"/>
      <x:c r="M5" s="45"/>
    </x:row>
    <x:row r="6" ht="22" customHeight="1">
      <x:c r="A6" s="48"/>
      <x:c r="B6" s="46"/>
      <x:c r="C6" s="50"/>
      <x:c r="D6" s="50"/>
      <x:c r="E6" s="50"/>
      <x:c r="F6" s="56" t="str">
        <x:f>IF(OR(C6="",E6=""),"",E6-C6)</x:f>
      </x:c>
      <x:c r="G6" s="50"/>
      <x:c r="H6" s="50"/>
      <x:c r="I6" s="50"/>
      <x:c r="J6" s="50"/>
      <x:c r="K6" s="50"/>
      <x:c r="L6" s="46"/>
      <x:c r="M6" s="46"/>
    </x:row>
    <x:row r="7" ht="22" customHeight="1">
      <x:c r="A7" s="48"/>
      <x:c r="B7" s="46"/>
      <x:c r="C7" s="50"/>
      <x:c r="D7" s="50"/>
      <x:c r="E7" s="50"/>
      <x:c r="F7" s="56" t="str">
        <x:f>IF(OR(C7="",E7=""),"",E7-C7)</x:f>
      </x:c>
      <x:c r="G7" s="50"/>
      <x:c r="H7" s="50"/>
      <x:c r="I7" s="50"/>
      <x:c r="J7" s="50"/>
      <x:c r="K7" s="50"/>
      <x:c r="L7" s="46"/>
      <x:c r="M7" s="46"/>
    </x:row>
    <x:row r="8" ht="22" customHeight="1">
      <x:c r="A8" s="48"/>
      <x:c r="B8" s="46"/>
      <x:c r="C8" s="50"/>
      <x:c r="D8" s="50"/>
      <x:c r="E8" s="50"/>
      <x:c r="F8" s="56" t="str">
        <x:f>IF(OR(C8="",E8=""),"",E8-C8)</x:f>
      </x:c>
      <x:c r="G8" s="50"/>
      <x:c r="H8" s="50"/>
      <x:c r="I8" s="50"/>
      <x:c r="J8" s="50"/>
      <x:c r="K8" s="50"/>
      <x:c r="L8" s="46"/>
      <x:c r="M8" s="46"/>
    </x:row>
    <x:row r="9" ht="22" customHeight="1">
      <x:c r="A9" s="48"/>
      <x:c r="B9" s="46"/>
      <x:c r="C9" s="50"/>
      <x:c r="D9" s="50"/>
      <x:c r="E9" s="50"/>
      <x:c r="F9" s="56" t="str">
        <x:f>IF(OR(C9="",E9=""),"",E9-C9)</x:f>
      </x:c>
      <x:c r="G9" s="50"/>
      <x:c r="H9" s="50"/>
      <x:c r="I9" s="50"/>
      <x:c r="J9" s="50"/>
      <x:c r="K9" s="50"/>
      <x:c r="L9" s="46"/>
      <x:c r="M9" s="46"/>
    </x:row>
    <x:row r="10" ht="22" customHeight="1">
      <x:c r="A10" s="48"/>
      <x:c r="B10" s="46"/>
      <x:c r="C10" s="50"/>
      <x:c r="D10" s="50"/>
      <x:c r="E10" s="50"/>
      <x:c r="F10" s="56" t="str">
        <x:f>IF(OR(C10="",E10=""),"",E10-C10)</x:f>
      </x:c>
      <x:c r="G10" s="50"/>
      <x:c r="H10" s="50"/>
      <x:c r="I10" s="50"/>
      <x:c r="J10" s="50"/>
      <x:c r="K10" s="50"/>
      <x:c r="L10" s="46"/>
      <x:c r="M10" s="46"/>
    </x:row>
    <x:row r="11" ht="22" customHeight="1">
      <x:c r="A11" s="48"/>
      <x:c r="B11" s="46"/>
      <x:c r="C11" s="50"/>
      <x:c r="D11" s="50"/>
      <x:c r="E11" s="50"/>
      <x:c r="F11" s="56" t="str">
        <x:f>IF(OR(C11="",E11=""),"",E11-C11)</x:f>
      </x:c>
      <x:c r="G11" s="50"/>
      <x:c r="H11" s="50"/>
      <x:c r="I11" s="50"/>
      <x:c r="J11" s="50"/>
      <x:c r="K11" s="50"/>
      <x:c r="L11" s="46"/>
      <x:c r="M11" s="46"/>
    </x:row>
    <x:row r="12" ht="22" customHeight="1">
      <x:c r="A12" s="48"/>
      <x:c r="B12" s="46"/>
      <x:c r="C12" s="50"/>
      <x:c r="D12" s="50"/>
      <x:c r="E12" s="50"/>
      <x:c r="F12" s="56" t="str">
        <x:f>IF(OR(C12="",E12=""),"",E12-C12)</x:f>
      </x:c>
      <x:c r="G12" s="50"/>
      <x:c r="H12" s="50"/>
      <x:c r="I12" s="50"/>
      <x:c r="J12" s="50"/>
      <x:c r="K12" s="50"/>
      <x:c r="L12" s="46"/>
      <x:c r="M12" s="46"/>
    </x:row>
    <x:row r="13" ht="22" customHeight="1">
      <x:c r="A13" s="48"/>
      <x:c r="B13" s="46"/>
      <x:c r="C13" s="50"/>
      <x:c r="D13" s="50"/>
      <x:c r="E13" s="50"/>
      <x:c r="F13" s="56" t="str">
        <x:f>IF(OR(C13="",E13=""),"",E13-C13)</x:f>
      </x:c>
      <x:c r="G13" s="50"/>
      <x:c r="H13" s="50"/>
      <x:c r="I13" s="50"/>
      <x:c r="J13" s="50"/>
      <x:c r="K13" s="50"/>
      <x:c r="L13" s="46"/>
      <x:c r="M13" s="46"/>
    </x:row>
    <x:row r="14" ht="22" customHeight="1">
      <x:c r="A14" s="48"/>
      <x:c r="B14" s="46"/>
      <x:c r="C14" s="50"/>
      <x:c r="D14" s="50"/>
      <x:c r="E14" s="50"/>
      <x:c r="F14" s="56" t="str">
        <x:f>IF(OR(C14="",E14=""),"",E14-C14)</x:f>
      </x:c>
      <x:c r="G14" s="50"/>
      <x:c r="H14" s="50"/>
      <x:c r="I14" s="50"/>
      <x:c r="J14" s="50"/>
      <x:c r="K14" s="50"/>
      <x:c r="L14" s="46"/>
      <x:c r="M14" s="46"/>
    </x:row>
    <x:row r="15" ht="22" customHeight="1">
      <x:c r="A15" s="48"/>
      <x:c r="B15" s="46"/>
      <x:c r="C15" s="50"/>
      <x:c r="D15" s="50"/>
      <x:c r="E15" s="50"/>
      <x:c r="F15" s="56" t="str">
        <x:f>IF(OR(C15="",E15=""),"",E15-C15)</x:f>
      </x:c>
      <x:c r="G15" s="50"/>
      <x:c r="H15" s="50"/>
      <x:c r="I15" s="50"/>
      <x:c r="J15" s="50"/>
      <x:c r="K15" s="50"/>
      <x:c r="L15" s="46"/>
      <x:c r="M15" s="46"/>
    </x:row>
    <x:row r="16" ht="22" customHeight="1">
      <x:c r="A16" s="48"/>
      <x:c r="B16" s="46"/>
      <x:c r="C16" s="50"/>
      <x:c r="D16" s="50"/>
      <x:c r="E16" s="50"/>
      <x:c r="F16" s="56" t="str">
        <x:f>IF(OR(C16="",E16=""),"",E16-C16)</x:f>
      </x:c>
      <x:c r="G16" s="50"/>
      <x:c r="H16" s="50"/>
      <x:c r="I16" s="50"/>
      <x:c r="J16" s="50"/>
      <x:c r="K16" s="50"/>
      <x:c r="L16" s="46"/>
      <x:c r="M16" s="46"/>
    </x:row>
    <x:row r="17" ht="22" customHeight="1">
      <x:c r="A17" s="48"/>
      <x:c r="B17" s="46"/>
      <x:c r="C17" s="50"/>
      <x:c r="D17" s="50"/>
      <x:c r="E17" s="50"/>
      <x:c r="F17" s="56" t="str">
        <x:f>IF(OR(C17="",E17=""),"",E17-C17)</x:f>
      </x:c>
      <x:c r="G17" s="50"/>
      <x:c r="H17" s="50"/>
      <x:c r="I17" s="50"/>
      <x:c r="J17" s="50"/>
      <x:c r="K17" s="50"/>
      <x:c r="L17" s="46"/>
      <x:c r="M17" s="46"/>
    </x:row>
    <x:row r="18" ht="22" customHeight="1">
      <x:c r="A18" s="48"/>
      <x:c r="B18" s="46"/>
      <x:c r="C18" s="50"/>
      <x:c r="D18" s="50"/>
      <x:c r="E18" s="50"/>
      <x:c r="F18" s="56" t="str">
        <x:f>IF(OR(C18="",E18=""),"",E18-C18)</x:f>
      </x:c>
      <x:c r="G18" s="50"/>
      <x:c r="H18" s="50"/>
      <x:c r="I18" s="50"/>
      <x:c r="J18" s="50"/>
      <x:c r="K18" s="50"/>
      <x:c r="L18" s="46"/>
      <x:c r="M18" s="46"/>
    </x:row>
    <x:row r="19" ht="22" customHeight="1">
      <x:c r="A19" s="48"/>
      <x:c r="B19" s="46"/>
      <x:c r="C19" s="50"/>
      <x:c r="D19" s="50"/>
      <x:c r="E19" s="50"/>
      <x:c r="F19" s="56" t="str">
        <x:f>IF(OR(C19="",E19=""),"",E19-C19)</x:f>
      </x:c>
      <x:c r="G19" s="50"/>
      <x:c r="H19" s="50"/>
      <x:c r="I19" s="50"/>
      <x:c r="J19" s="50"/>
      <x:c r="K19" s="50"/>
      <x:c r="L19" s="46"/>
      <x:c r="M19" s="46"/>
    </x:row>
    <x:row r="20" ht="22" customHeight="1">
      <x:c r="A20" s="48"/>
      <x:c r="B20" s="46"/>
      <x:c r="C20" s="50"/>
      <x:c r="D20" s="50"/>
      <x:c r="E20" s="50"/>
      <x:c r="F20" s="56" t="str">
        <x:f>IF(OR(C20="",E20=""),"",E20-C20)</x:f>
      </x:c>
      <x:c r="G20" s="50"/>
      <x:c r="H20" s="50"/>
      <x:c r="I20" s="50"/>
      <x:c r="J20" s="50"/>
      <x:c r="K20" s="50"/>
      <x:c r="L20" s="46"/>
      <x:c r="M20" s="46"/>
    </x:row>
    <x:row r="21" ht="22" customHeight="1">
      <x:c r="A21" s="48"/>
      <x:c r="B21" s="46"/>
      <x:c r="C21" s="50"/>
      <x:c r="D21" s="50"/>
      <x:c r="E21" s="50"/>
      <x:c r="F21" s="56" t="str">
        <x:f>IF(OR(C21="",E21=""),"",E21-C21)</x:f>
      </x:c>
      <x:c r="G21" s="50"/>
      <x:c r="H21" s="50"/>
      <x:c r="I21" s="50"/>
      <x:c r="J21" s="50"/>
      <x:c r="K21" s="50"/>
      <x:c r="L21" s="46"/>
      <x:c r="M21" s="46"/>
    </x:row>
    <x:row r="22" ht="22" customHeight="1">
      <x:c r="A22" s="48"/>
      <x:c r="B22" s="46"/>
      <x:c r="C22" s="50"/>
      <x:c r="D22" s="50"/>
      <x:c r="E22" s="50"/>
      <x:c r="F22" s="56" t="str">
        <x:f>IF(OR(C22="",E22=""),"",E22-C22)</x:f>
      </x:c>
      <x:c r="G22" s="50"/>
      <x:c r="H22" s="50"/>
      <x:c r="I22" s="50"/>
      <x:c r="J22" s="50"/>
      <x:c r="K22" s="50"/>
      <x:c r="L22" s="46"/>
      <x:c r="M22" s="46"/>
    </x:row>
    <x:row r="23" ht="22" customHeight="1">
      <x:c r="A23" s="48"/>
      <x:c r="B23" s="46"/>
      <x:c r="C23" s="50"/>
      <x:c r="D23" s="50"/>
      <x:c r="E23" s="50"/>
      <x:c r="F23" s="56" t="str">
        <x:f>IF(OR(C23="",E23=""),"",E23-C23)</x:f>
      </x:c>
      <x:c r="G23" s="50"/>
      <x:c r="H23" s="50"/>
      <x:c r="I23" s="50"/>
      <x:c r="J23" s="50"/>
      <x:c r="K23" s="50"/>
      <x:c r="L23" s="46"/>
      <x:c r="M23" s="46"/>
    </x:row>
    <x:row r="24" ht="22" customHeight="1">
      <x:c r="A24" s="48"/>
      <x:c r="B24" s="46"/>
      <x:c r="C24" s="50"/>
      <x:c r="D24" s="50"/>
      <x:c r="E24" s="50"/>
      <x:c r="F24" s="56" t="str">
        <x:f>IF(OR(C24="",E24=""),"",E24-C24)</x:f>
      </x:c>
      <x:c r="G24" s="50"/>
      <x:c r="H24" s="50"/>
      <x:c r="I24" s="50"/>
      <x:c r="J24" s="50"/>
      <x:c r="K24" s="50"/>
      <x:c r="L24" s="46"/>
      <x:c r="M24" s="46"/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5cd097d88120449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24" hidden="0" customWidth="1"/>
    <x:col min="15" max="15" width="24" hidden="0" customWidth="1"/>
  </x:cols>
  <x:sheetData>
    <x:row r="1">
      <x:c r="A1" s="3" t="str">
        <x:v>进口成本、压榨利润与养殖利润｜月度</x:v>
      </x:c>
      <x:c r="B1" s="3" t="str">
        <x:v>进口成本、压榨利润与养殖利润｜月度</x:v>
      </x:c>
      <x:c r="C1" s="3" t="str">
        <x:v>进口成本、压榨利润与养殖利润｜月度</x:v>
      </x:c>
      <x:c r="D1" s="3" t="str">
        <x:v>进口成本、压榨利润与养殖利润｜月度</x:v>
      </x:c>
      <x:c r="E1" s="3" t="str">
        <x:v>进口成本、压榨利润与养殖利润｜月度</x:v>
      </x:c>
      <x:c r="F1" s="3" t="str">
        <x:v>进口成本、压榨利润与养殖利润｜月度</x:v>
      </x:c>
      <x:c r="G1" s="3" t="str">
        <x:v>进口成本、压榨利润与养殖利润｜月度</x:v>
      </x:c>
      <x:c r="H1" s="3" t="str">
        <x:v>进口成本、压榨利润与养殖利润｜月度</x:v>
      </x:c>
      <x:c r="I1" s="3" t="str">
        <x:v>进口成本、压榨利润与养殖利润｜月度</x:v>
      </x:c>
      <x:c r="J1" s="3" t="str">
        <x:v>进口成本、压榨利润与养殖利润｜月度</x:v>
      </x:c>
      <x:c r="K1" s="3" t="str">
        <x:v>进口成本、压榨利润与养殖利润｜月度</x:v>
      </x:c>
      <x:c r="L1" s="3" t="str">
        <x:v>进口成本、压榨利润与养殖利润｜月度</x:v>
      </x:c>
      <x:c r="M1" s="3" t="str">
        <x:v>进口成本、压榨利润与养殖利润｜月度</x:v>
      </x:c>
      <x:c r="N1" s="3" t="str">
        <x:v>进口成本、压榨利润与养殖利润｜月度</x:v>
      </x:c>
      <x:c r="O1" s="3" t="str">
        <x:v>进口成本、压榨利润与养殖利润｜月度</x:v>
      </x:c>
    </x:row>
    <x:row r="2">
      <x:c r="A2" s="3" t="str">
        <x:v>进口成本、压榨利润与养殖利润｜月度</x:v>
      </x:c>
      <x:c r="B2" s="3" t="str">
        <x:v>进口成本、压榨利润与养殖利润｜月度</x:v>
      </x:c>
      <x:c r="C2" s="3" t="str">
        <x:v>进口成本、压榨利润与养殖利润｜月度</x:v>
      </x:c>
      <x:c r="D2" s="3" t="str">
        <x:v>进口成本、压榨利润与养殖利润｜月度</x:v>
      </x:c>
      <x:c r="E2" s="3" t="str">
        <x:v>进口成本、压榨利润与养殖利润｜月度</x:v>
      </x:c>
      <x:c r="F2" s="3" t="str">
        <x:v>进口成本、压榨利润与养殖利润｜月度</x:v>
      </x:c>
      <x:c r="G2" s="3" t="str">
        <x:v>进口成本、压榨利润与养殖利润｜月度</x:v>
      </x:c>
      <x:c r="H2" s="3" t="str">
        <x:v>进口成本、压榨利润与养殖利润｜月度</x:v>
      </x:c>
      <x:c r="I2" s="3" t="str">
        <x:v>进口成本、压榨利润与养殖利润｜月度</x:v>
      </x:c>
      <x:c r="J2" s="3" t="str">
        <x:v>进口成本、压榨利润与养殖利润｜月度</x:v>
      </x:c>
      <x:c r="K2" s="3" t="str">
        <x:v>进口成本、压榨利润与养殖利润｜月度</x:v>
      </x:c>
      <x:c r="L2" s="3" t="str">
        <x:v>进口成本、压榨利润与养殖利润｜月度</x:v>
      </x:c>
      <x:c r="M2" s="3" t="str">
        <x:v>进口成本、压榨利润与养殖利润｜月度</x:v>
      </x:c>
      <x:c r="N2" s="3" t="str">
        <x:v>进口成本、压榨利润与养殖利润｜月度</x:v>
      </x:c>
      <x:c r="O2" s="3" t="str">
        <x:v>进口成本、压榨利润与养殖利润｜月度</x:v>
      </x:c>
    </x:row>
    <x:row r="3">
      <x:c r="A3" s="41" t="str">
        <x:v>首选来源：由进口、价格与行业数据计算　</x:v>
      </x:c>
      <x:c r="B3" s="41" t="str">
        <x:v>首选来源：由进口、价格与行业数据计算　</x:v>
      </x:c>
      <x:c r="C3" s="41" t="str">
        <x:v>首选来源：由进口、价格与行业数据计算　</x:v>
      </x:c>
      <x:c r="D3" s="41" t="str">
        <x:v>首选来源：由进口、价格与行业数据计算　</x:v>
      </x:c>
      <x:c r="E3" s="41" t="str">
        <x:v>首选来源：由进口、价格与行业数据计算　</x:v>
      </x:c>
      <x:c r="F3" s="41" t="str">
        <x:v>首选来源：由进口、价格与行业数据计算　</x:v>
      </x:c>
      <x:c r="G3" s="41" t="str">
        <x:v>首选来源：由进口、价格与行业数据计算　</x:v>
      </x:c>
      <x:c r="H3" s="41" t="str">
        <x:v>首选来源：由进口、价格与行业数据计算　</x:v>
      </x:c>
      <x:c r="I3" s="41" t="str">
        <x:v>首选来源：由进口、价格与行业数据计算　</x:v>
      </x:c>
      <x:c r="J3" s="41" t="str">
        <x:v>首选来源：由进口、价格与行业数据计算　</x:v>
      </x:c>
      <x:c r="K3" s="41" t="str">
        <x:v>首选来源：由进口、价格与行业数据计算　</x:v>
      </x:c>
      <x:c r="L3" s="41" t="str">
        <x:v>首选来源：由进口、价格与行业数据计算　</x:v>
      </x:c>
      <x:c r="M3" s="41" t="str">
        <x:v>首选来源：由进口、价格与行业数据计算　</x:v>
      </x:c>
      <x:c r="N3" s="41" t="str">
        <x:v>首选来源：由进口、价格与行业数据计算　</x:v>
      </x:c>
      <x:c r="O3" s="41" t="str">
        <x:v>首选来源：由进口、价格与行业数据计算　</x:v>
      </x:c>
    </x:row>
    <x:row r="4" ht="34" customHeight="1">
      <x:c r="A4" s="6" t="str">
        <x:v>月份
必填</x:v>
      </x:c>
      <x:c r="B4" s="6" t="str">
        <x:v>大豆来源
必填</x:v>
      </x:c>
      <x:c r="C4" s="6" t="str">
        <x:v>大豆到岸完税成本
必填</x:v>
      </x:c>
      <x:c r="D4" s="6" t="str">
        <x:v>豆粕销售价格
必填</x:v>
      </x:c>
      <x:c r="E4" s="6" t="str">
        <x:v>豆油销售价格
必填</x:v>
      </x:c>
      <x:c r="F4" s="6" t="str">
        <x:v>豆粕得率
必填</x:v>
      </x:c>
      <x:c r="G4" s="6" t="str">
        <x:v>豆油得率
必填</x:v>
      </x:c>
      <x:c r="H4" s="6" t="str">
        <x:v>加工及其他成本
必填</x:v>
      </x:c>
      <x:c r="I4" s="6" t="str">
        <x:v>压榨收入
自动</x:v>
      </x:c>
      <x:c r="J4" s="6" t="str">
        <x:v>压榨利润
自动</x:v>
      </x:c>
      <x:c r="K4" s="6" t="str">
        <x:v>生猪养殖利润
选填</x:v>
      </x:c>
      <x:c r="L4" s="6" t="str">
        <x:v>肉鸡养殖利润
选填</x:v>
      </x:c>
      <x:c r="M4" s="6" t="str">
        <x:v>蛋鸡养殖利润
选填</x:v>
      </x:c>
      <x:c r="N4" s="6" t="str">
        <x:v>来源网址
必填</x:v>
      </x:c>
      <x:c r="O4" s="6" t="str">
        <x:v>备注
选填</x:v>
      </x:c>
    </x:row>
    <x:row r="5" ht="22" customHeight="1">
      <x:c r="A5" s="47"/>
      <x:c r="B5" s="45"/>
      <x:c r="C5" s="49"/>
      <x:c r="D5" s="49"/>
      <x:c r="E5" s="49"/>
      <x:c r="F5" s="57"/>
      <x:c r="G5" s="57"/>
      <x:c r="H5" s="49"/>
      <x:c r="I5" s="55" t="str">
        <x:f>IF(OR(D5="",E5="",F5="",G5=""),"",D5*F5+E5*G5)</x:f>
      </x:c>
      <x:c r="J5" s="55" t="str">
        <x:f>IF(OR(I5="",C5="",H5=""),"",I5-C5-H5)</x:f>
      </x:c>
      <x:c r="K5" s="49"/>
      <x:c r="L5" s="49"/>
      <x:c r="M5" s="49"/>
      <x:c r="N5" s="45"/>
      <x:c r="O5" s="45"/>
    </x:row>
    <x:row r="6" ht="22" customHeight="1">
      <x:c r="A6" s="48"/>
      <x:c r="B6" s="46"/>
      <x:c r="C6" s="50"/>
      <x:c r="D6" s="50"/>
      <x:c r="E6" s="50"/>
      <x:c r="F6" s="58"/>
      <x:c r="G6" s="58"/>
      <x:c r="H6" s="50"/>
      <x:c r="I6" s="56" t="str">
        <x:f>IF(OR(D6="",E6="",F6="",G6=""),"",D6*F6+E6*G6)</x:f>
      </x:c>
      <x:c r="J6" s="56" t="str">
        <x:f>IF(OR(I6="",C6="",H6=""),"",I6-C6-H6)</x:f>
      </x:c>
      <x:c r="K6" s="50"/>
      <x:c r="L6" s="50"/>
      <x:c r="M6" s="50"/>
      <x:c r="N6" s="46"/>
      <x:c r="O6" s="46"/>
    </x:row>
    <x:row r="7" ht="22" customHeight="1">
      <x:c r="A7" s="48"/>
      <x:c r="B7" s="46"/>
      <x:c r="C7" s="50"/>
      <x:c r="D7" s="50"/>
      <x:c r="E7" s="50"/>
      <x:c r="F7" s="58"/>
      <x:c r="G7" s="58"/>
      <x:c r="H7" s="50"/>
      <x:c r="I7" s="56" t="str">
        <x:f>IF(OR(D7="",E7="",F7="",G7=""),"",D7*F7+E7*G7)</x:f>
      </x:c>
      <x:c r="J7" s="56" t="str">
        <x:f>IF(OR(I7="",C7="",H7=""),"",I7-C7-H7)</x:f>
      </x:c>
      <x:c r="K7" s="50"/>
      <x:c r="L7" s="50"/>
      <x:c r="M7" s="50"/>
      <x:c r="N7" s="46"/>
      <x:c r="O7" s="46"/>
    </x:row>
    <x:row r="8" ht="22" customHeight="1">
      <x:c r="A8" s="48"/>
      <x:c r="B8" s="46"/>
      <x:c r="C8" s="50"/>
      <x:c r="D8" s="50"/>
      <x:c r="E8" s="50"/>
      <x:c r="F8" s="58"/>
      <x:c r="G8" s="58"/>
      <x:c r="H8" s="50"/>
      <x:c r="I8" s="56" t="str">
        <x:f>IF(OR(D8="",E8="",F8="",G8=""),"",D8*F8+E8*G8)</x:f>
      </x:c>
      <x:c r="J8" s="56" t="str">
        <x:f>IF(OR(I8="",C8="",H8=""),"",I8-C8-H8)</x:f>
      </x:c>
      <x:c r="K8" s="50"/>
      <x:c r="L8" s="50"/>
      <x:c r="M8" s="50"/>
      <x:c r="N8" s="46"/>
      <x:c r="O8" s="46"/>
    </x:row>
    <x:row r="9" ht="22" customHeight="1">
      <x:c r="A9" s="48"/>
      <x:c r="B9" s="46"/>
      <x:c r="C9" s="50"/>
      <x:c r="D9" s="50"/>
      <x:c r="E9" s="50"/>
      <x:c r="F9" s="58"/>
      <x:c r="G9" s="58"/>
      <x:c r="H9" s="50"/>
      <x:c r="I9" s="56" t="str">
        <x:f>IF(OR(D9="",E9="",F9="",G9=""),"",D9*F9+E9*G9)</x:f>
      </x:c>
      <x:c r="J9" s="56" t="str">
        <x:f>IF(OR(I9="",C9="",H9=""),"",I9-C9-H9)</x:f>
      </x:c>
      <x:c r="K9" s="50"/>
      <x:c r="L9" s="50"/>
      <x:c r="M9" s="50"/>
      <x:c r="N9" s="46"/>
      <x:c r="O9" s="46"/>
    </x:row>
    <x:row r="10" ht="22" customHeight="1">
      <x:c r="A10" s="48"/>
      <x:c r="B10" s="46"/>
      <x:c r="C10" s="50"/>
      <x:c r="D10" s="50"/>
      <x:c r="E10" s="50"/>
      <x:c r="F10" s="58"/>
      <x:c r="G10" s="58"/>
      <x:c r="H10" s="50"/>
      <x:c r="I10" s="56" t="str">
        <x:f>IF(OR(D10="",E10="",F10="",G10=""),"",D10*F10+E10*G10)</x:f>
      </x:c>
      <x:c r="J10" s="56" t="str">
        <x:f>IF(OR(I10="",C10="",H10=""),"",I10-C10-H10)</x:f>
      </x:c>
      <x:c r="K10" s="50"/>
      <x:c r="L10" s="50"/>
      <x:c r="M10" s="50"/>
      <x:c r="N10" s="46"/>
      <x:c r="O10" s="46"/>
    </x:row>
    <x:row r="11" ht="22" customHeight="1">
      <x:c r="A11" s="48"/>
      <x:c r="B11" s="46"/>
      <x:c r="C11" s="50"/>
      <x:c r="D11" s="50"/>
      <x:c r="E11" s="50"/>
      <x:c r="F11" s="58"/>
      <x:c r="G11" s="58"/>
      <x:c r="H11" s="50"/>
      <x:c r="I11" s="56" t="str">
        <x:f>IF(OR(D11="",E11="",F11="",G11=""),"",D11*F11+E11*G11)</x:f>
      </x:c>
      <x:c r="J11" s="56" t="str">
        <x:f>IF(OR(I11="",C11="",H11=""),"",I11-C11-H11)</x:f>
      </x:c>
      <x:c r="K11" s="50"/>
      <x:c r="L11" s="50"/>
      <x:c r="M11" s="50"/>
      <x:c r="N11" s="46"/>
      <x:c r="O11" s="46"/>
    </x:row>
    <x:row r="12" ht="22" customHeight="1">
      <x:c r="A12" s="48"/>
      <x:c r="B12" s="46"/>
      <x:c r="C12" s="50"/>
      <x:c r="D12" s="50"/>
      <x:c r="E12" s="50"/>
      <x:c r="F12" s="58"/>
      <x:c r="G12" s="58"/>
      <x:c r="H12" s="50"/>
      <x:c r="I12" s="56" t="str">
        <x:f>IF(OR(D12="",E12="",F12="",G12=""),"",D12*F12+E12*G12)</x:f>
      </x:c>
      <x:c r="J12" s="56" t="str">
        <x:f>IF(OR(I12="",C12="",H12=""),"",I12-C12-H12)</x:f>
      </x:c>
      <x:c r="K12" s="50"/>
      <x:c r="L12" s="50"/>
      <x:c r="M12" s="50"/>
      <x:c r="N12" s="46"/>
      <x:c r="O12" s="46"/>
    </x:row>
    <x:row r="13" ht="22" customHeight="1">
      <x:c r="A13" s="48"/>
      <x:c r="B13" s="46"/>
      <x:c r="C13" s="50"/>
      <x:c r="D13" s="50"/>
      <x:c r="E13" s="50"/>
      <x:c r="F13" s="58"/>
      <x:c r="G13" s="58"/>
      <x:c r="H13" s="50"/>
      <x:c r="I13" s="56" t="str">
        <x:f>IF(OR(D13="",E13="",F13="",G13=""),"",D13*F13+E13*G13)</x:f>
      </x:c>
      <x:c r="J13" s="56" t="str">
        <x:f>IF(OR(I13="",C13="",H13=""),"",I13-C13-H13)</x:f>
      </x:c>
      <x:c r="K13" s="50"/>
      <x:c r="L13" s="50"/>
      <x:c r="M13" s="50"/>
      <x:c r="N13" s="46"/>
      <x:c r="O13" s="46"/>
    </x:row>
    <x:row r="14" ht="22" customHeight="1">
      <x:c r="A14" s="48"/>
      <x:c r="B14" s="46"/>
      <x:c r="C14" s="50"/>
      <x:c r="D14" s="50"/>
      <x:c r="E14" s="50"/>
      <x:c r="F14" s="58"/>
      <x:c r="G14" s="58"/>
      <x:c r="H14" s="50"/>
      <x:c r="I14" s="56" t="str">
        <x:f>IF(OR(D14="",E14="",F14="",G14=""),"",D14*F14+E14*G14)</x:f>
      </x:c>
      <x:c r="J14" s="56" t="str">
        <x:f>IF(OR(I14="",C14="",H14=""),"",I14-C14-H14)</x:f>
      </x:c>
      <x:c r="K14" s="50"/>
      <x:c r="L14" s="50"/>
      <x:c r="M14" s="50"/>
      <x:c r="N14" s="46"/>
      <x:c r="O14" s="46"/>
    </x:row>
    <x:row r="15" ht="22" customHeight="1">
      <x:c r="A15" s="48"/>
      <x:c r="B15" s="46"/>
      <x:c r="C15" s="50"/>
      <x:c r="D15" s="50"/>
      <x:c r="E15" s="50"/>
      <x:c r="F15" s="58"/>
      <x:c r="G15" s="58"/>
      <x:c r="H15" s="50"/>
      <x:c r="I15" s="56" t="str">
        <x:f>IF(OR(D15="",E15="",F15="",G15=""),"",D15*F15+E15*G15)</x:f>
      </x:c>
      <x:c r="J15" s="56" t="str">
        <x:f>IF(OR(I15="",C15="",H15=""),"",I15-C15-H15)</x:f>
      </x:c>
      <x:c r="K15" s="50"/>
      <x:c r="L15" s="50"/>
      <x:c r="M15" s="50"/>
      <x:c r="N15" s="46"/>
      <x:c r="O15" s="46"/>
    </x:row>
    <x:row r="16" ht="22" customHeight="1">
      <x:c r="A16" s="48"/>
      <x:c r="B16" s="46"/>
      <x:c r="C16" s="50"/>
      <x:c r="D16" s="50"/>
      <x:c r="E16" s="50"/>
      <x:c r="F16" s="58"/>
      <x:c r="G16" s="58"/>
      <x:c r="H16" s="50"/>
      <x:c r="I16" s="56" t="str">
        <x:f>IF(OR(D16="",E16="",F16="",G16=""),"",D16*F16+E16*G16)</x:f>
      </x:c>
      <x:c r="J16" s="56" t="str">
        <x:f>IF(OR(I16="",C16="",H16=""),"",I16-C16-H16)</x:f>
      </x:c>
      <x:c r="K16" s="50"/>
      <x:c r="L16" s="50"/>
      <x:c r="M16" s="50"/>
      <x:c r="N16" s="46"/>
      <x:c r="O16" s="46"/>
    </x:row>
    <x:row r="17" ht="22" customHeight="1">
      <x:c r="A17" s="48"/>
      <x:c r="B17" s="46"/>
      <x:c r="C17" s="50"/>
      <x:c r="D17" s="50"/>
      <x:c r="E17" s="50"/>
      <x:c r="F17" s="58"/>
      <x:c r="G17" s="58"/>
      <x:c r="H17" s="50"/>
      <x:c r="I17" s="56" t="str">
        <x:f>IF(OR(D17="",E17="",F17="",G17=""),"",D17*F17+E17*G17)</x:f>
      </x:c>
      <x:c r="J17" s="56" t="str">
        <x:f>IF(OR(I17="",C17="",H17=""),"",I17-C17-H17)</x:f>
      </x:c>
      <x:c r="K17" s="50"/>
      <x:c r="L17" s="50"/>
      <x:c r="M17" s="50"/>
      <x:c r="N17" s="46"/>
      <x:c r="O17" s="46"/>
    </x:row>
    <x:row r="18" ht="22" customHeight="1">
      <x:c r="A18" s="48"/>
      <x:c r="B18" s="46"/>
      <x:c r="C18" s="50"/>
      <x:c r="D18" s="50"/>
      <x:c r="E18" s="50"/>
      <x:c r="F18" s="58"/>
      <x:c r="G18" s="58"/>
      <x:c r="H18" s="50"/>
      <x:c r="I18" s="56" t="str">
        <x:f>IF(OR(D18="",E18="",F18="",G18=""),"",D18*F18+E18*G18)</x:f>
      </x:c>
      <x:c r="J18" s="56" t="str">
        <x:f>IF(OR(I18="",C18="",H18=""),"",I18-C18-H18)</x:f>
      </x:c>
      <x:c r="K18" s="50"/>
      <x:c r="L18" s="50"/>
      <x:c r="M18" s="50"/>
      <x:c r="N18" s="46"/>
      <x:c r="O18" s="46"/>
    </x:row>
    <x:row r="19" ht="22" customHeight="1">
      <x:c r="A19" s="48"/>
      <x:c r="B19" s="46"/>
      <x:c r="C19" s="50"/>
      <x:c r="D19" s="50"/>
      <x:c r="E19" s="50"/>
      <x:c r="F19" s="58"/>
      <x:c r="G19" s="58"/>
      <x:c r="H19" s="50"/>
      <x:c r="I19" s="56" t="str">
        <x:f>IF(OR(D19="",E19="",F19="",G19=""),"",D19*F19+E19*G19)</x:f>
      </x:c>
      <x:c r="J19" s="56" t="str">
        <x:f>IF(OR(I19="",C19="",H19=""),"",I19-C19-H19)</x:f>
      </x:c>
      <x:c r="K19" s="50"/>
      <x:c r="L19" s="50"/>
      <x:c r="M19" s="50"/>
      <x:c r="N19" s="46"/>
      <x:c r="O19" s="46"/>
    </x:row>
    <x:row r="20" ht="22" customHeight="1">
      <x:c r="A20" s="48"/>
      <x:c r="B20" s="46"/>
      <x:c r="C20" s="50"/>
      <x:c r="D20" s="50"/>
      <x:c r="E20" s="50"/>
      <x:c r="F20" s="58"/>
      <x:c r="G20" s="58"/>
      <x:c r="H20" s="50"/>
      <x:c r="I20" s="56" t="str">
        <x:f>IF(OR(D20="",E20="",F20="",G20=""),"",D20*F20+E20*G20)</x:f>
      </x:c>
      <x:c r="J20" s="56" t="str">
        <x:f>IF(OR(I20="",C20="",H20=""),"",I20-C20-H20)</x:f>
      </x:c>
      <x:c r="K20" s="50"/>
      <x:c r="L20" s="50"/>
      <x:c r="M20" s="50"/>
      <x:c r="N20" s="46"/>
      <x:c r="O20" s="46"/>
    </x:row>
    <x:row r="21" ht="22" customHeight="1">
      <x:c r="A21" s="48"/>
      <x:c r="B21" s="46"/>
      <x:c r="C21" s="50"/>
      <x:c r="D21" s="50"/>
      <x:c r="E21" s="50"/>
      <x:c r="F21" s="58"/>
      <x:c r="G21" s="58"/>
      <x:c r="H21" s="50"/>
      <x:c r="I21" s="56" t="str">
        <x:f>IF(OR(D21="",E21="",F21="",G21=""),"",D21*F21+E21*G21)</x:f>
      </x:c>
      <x:c r="J21" s="56" t="str">
        <x:f>IF(OR(I21="",C21="",H21=""),"",I21-C21-H21)</x:f>
      </x:c>
      <x:c r="K21" s="50"/>
      <x:c r="L21" s="50"/>
      <x:c r="M21" s="50"/>
      <x:c r="N21" s="46"/>
      <x:c r="O21" s="46"/>
    </x:row>
    <x:row r="22" ht="22" customHeight="1">
      <x:c r="A22" s="48"/>
      <x:c r="B22" s="46"/>
      <x:c r="C22" s="50"/>
      <x:c r="D22" s="50"/>
      <x:c r="E22" s="50"/>
      <x:c r="F22" s="58"/>
      <x:c r="G22" s="58"/>
      <x:c r="H22" s="50"/>
      <x:c r="I22" s="56" t="str">
        <x:f>IF(OR(D22="",E22="",F22="",G22=""),"",D22*F22+E22*G22)</x:f>
      </x:c>
      <x:c r="J22" s="56" t="str">
        <x:f>IF(OR(I22="",C22="",H22=""),"",I22-C22-H22)</x:f>
      </x:c>
      <x:c r="K22" s="50"/>
      <x:c r="L22" s="50"/>
      <x:c r="M22" s="50"/>
      <x:c r="N22" s="46"/>
      <x:c r="O22" s="46"/>
    </x:row>
    <x:row r="23" ht="22" customHeight="1">
      <x:c r="A23" s="48"/>
      <x:c r="B23" s="46"/>
      <x:c r="C23" s="50"/>
      <x:c r="D23" s="50"/>
      <x:c r="E23" s="50"/>
      <x:c r="F23" s="58"/>
      <x:c r="G23" s="58"/>
      <x:c r="H23" s="50"/>
      <x:c r="I23" s="56" t="str">
        <x:f>IF(OR(D23="",E23="",F23="",G23=""),"",D23*F23+E23*G23)</x:f>
      </x:c>
      <x:c r="J23" s="56" t="str">
        <x:f>IF(OR(I23="",C23="",H23=""),"",I23-C23-H23)</x:f>
      </x:c>
      <x:c r="K23" s="50"/>
      <x:c r="L23" s="50"/>
      <x:c r="M23" s="50"/>
      <x:c r="N23" s="46"/>
      <x:c r="O23" s="46"/>
    </x:row>
    <x:row r="24" ht="22" customHeight="1">
      <x:c r="A24" s="48"/>
      <x:c r="B24" s="46"/>
      <x:c r="C24" s="50"/>
      <x:c r="D24" s="50"/>
      <x:c r="E24" s="50"/>
      <x:c r="F24" s="58"/>
      <x:c r="G24" s="58"/>
      <x:c r="H24" s="50"/>
      <x:c r="I24" s="56" t="str">
        <x:f>IF(OR(D24="",E24="",F24="",G24=""),"",D24*F24+E24*G24)</x:f>
      </x:c>
      <x:c r="J24" s="56" t="str">
        <x:f>IF(OR(I24="",C24="",H24=""),"",I24-C24-H24)</x:f>
      </x:c>
      <x:c r="K24" s="50"/>
      <x:c r="L24" s="50"/>
      <x:c r="M24" s="50"/>
      <x:c r="N24" s="46"/>
      <x:c r="O24" s="46"/>
    </x:row>
  </x:sheetData>
  <x:mergeCells>
    <x:mergeCell ref="A1:O2"/>
    <x:mergeCell ref="A3:O3"/>
  </x:mergeCells>
  <x:pageMargins left="0.7" right="0.7" top="0.75" bottom="0.75" header="0.3" footer="0.3"/>
  <x:tableParts count="1">
    <x:tablePart xmlns:r="http://schemas.openxmlformats.org/officeDocument/2006/relationships" r:id="Rc94d158f030d4c9c"/>
  </x:tableParts>
</x:worksheet>
</file>