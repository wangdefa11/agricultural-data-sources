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0f9f49ff1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cd6624fa31d4ad7"/>
    <x:sheet xmlns:r="http://schemas.openxmlformats.org/officeDocument/2006/relationships" name="指标数据字典" sheetId="2" r:id="R502eb104013e4ed9"/>
    <x:sheet xmlns:r="http://schemas.openxmlformats.org/officeDocument/2006/relationships" name="截图到数据映射" sheetId="3" r:id="R1536cd1bc3d542de"/>
    <x:sheet xmlns:r="http://schemas.openxmlformats.org/officeDocument/2006/relationships" name="数据源清单" sheetId="4" r:id="R967872a3160f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Microsoft YaHei"/>
    </x:font>
    <x:font>
      <x:b/>
      <x:sz val="11"/>
      <x:color rgb="FF9C0006"/>
      <x:name val="Microsoft YaHei"/>
    </x:font>
    <x:font>
      <x:b/>
      <x:sz val="10"/>
      <x:color rgb="FFFFFFFF"/>
      <x:name val="Microsoft YaHei"/>
    </x:font>
    <x:font>
      <x:sz val="9"/>
      <x:color rgb="FF222222"/>
      <x:name val="Microsoft YaHei"/>
    </x:font>
    <x:font>
      <x:sz val="10"/>
      <x:color rgb="FF222222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D71900"/>
      </x:patternFill>
    </x:fill>
    <x:fill>
      <x:patternFill patternType="solid">
        <x:fgColor rgb="FFFCE4DD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3">
    <x:border/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879a2305b41a6" /><Relationship Type="http://schemas.openxmlformats.org/officeDocument/2006/relationships/theme" Target="/xl/theme/theme1.xml" Id="Rba60a6279043451c" /><Relationship Type="http://schemas.openxmlformats.org/officeDocument/2006/relationships/sharedStrings" Target="/xl/sharedStrings.xml" Id="R424ca28d414c4f17" /><Relationship Type="http://schemas.openxmlformats.org/officeDocument/2006/relationships/worksheet" Target="/xl/worksheets/sheet1.xml" Id="Racd6624fa31d4ad7" /><Relationship Type="http://schemas.openxmlformats.org/officeDocument/2006/relationships/worksheet" Target="/xl/worksheets/sheet2.xml" Id="R502eb104013e4ed9" /><Relationship Type="http://schemas.openxmlformats.org/officeDocument/2006/relationships/worksheet" Target="/xl/worksheets/sheet3.xml" Id="R1536cd1bc3d542de" /><Relationship Type="http://schemas.openxmlformats.org/officeDocument/2006/relationships/worksheet" Target="/xl/worksheets/sheet4.xml" Id="R967872a3160f4e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豆粕研究数据采集框架｜截图只定义研究问题，数据独立采集</x:v>
      </x:c>
      <x:c r="B1" s="3" t="str">
        <x:v>豆粕研究数据采集框架｜截图只定义研究问题，数据独立采集</x:v>
      </x:c>
      <x:c r="C1" s="3" t="str">
        <x:v>豆粕研究数据采集框架｜截图只定义研究问题，数据独立采集</x:v>
      </x:c>
      <x:c r="D1" s="3" t="str">
        <x:v>豆粕研究数据采集框架｜截图只定义研究问题，数据独立采集</x:v>
      </x:c>
      <x:c r="E1" s="3" t="str">
        <x:v>豆粕研究数据采集框架｜截图只定义研究问题，数据独立采集</x:v>
      </x:c>
      <x:c r="F1" s="3" t="str">
        <x:v>豆粕研究数据采集框架｜截图只定义研究问题，数据独立采集</x:v>
      </x:c>
      <x:c r="G1" s="3" t="str">
        <x:v>豆粕研究数据采集框架｜截图只定义研究问题，数据独立采集</x:v>
      </x:c>
      <x:c r="H1" s="3" t="str">
        <x:v>豆粕研究数据采集框架｜截图只定义研究问题，数据独立采集</x:v>
      </x:c>
    </x:row>
    <x:row r="2" ht="30" customHeight="1">
      <x:c r="A2" s="3" t="str">
        <x:v>豆粕研究数据采集框架｜截图只定义研究问题，数据独立采集</x:v>
      </x:c>
      <x:c r="B2" s="3" t="str">
        <x:v>豆粕研究数据采集框架｜截图只定义研究问题，数据独立采集</x:v>
      </x:c>
      <x:c r="C2" s="3" t="str">
        <x:v>豆粕研究数据采集框架｜截图只定义研究问题，数据独立采集</x:v>
      </x:c>
      <x:c r="D2" s="3" t="str">
        <x:v>豆粕研究数据采集框架｜截图只定义研究问题，数据独立采集</x:v>
      </x:c>
      <x:c r="E2" s="3" t="str">
        <x:v>豆粕研究数据采集框架｜截图只定义研究问题，数据独立采集</x:v>
      </x:c>
      <x:c r="F2" s="3" t="str">
        <x:v>豆粕研究数据采集框架｜截图只定义研究问题，数据独立采集</x:v>
      </x:c>
      <x:c r="G2" s="3" t="str">
        <x:v>豆粕研究数据采集框架｜截图只定义研究问题，数据独立采集</x:v>
      </x:c>
      <x:c r="H2" s="3" t="str">
        <x:v>豆粕研究数据采集框架｜截图只定义研究问题，数据独立采集</x:v>
      </x:c>
    </x:row>
    <x:row r="4">
      <x:c r="A4" s="6" t="str">
        <x:v>核心原则</x:v>
      </x:c>
      <x:c r="B4" s="6" t="str">
        <x:v>先建立全球大豆供给，再接中国进口与压榨，最后用养殖与饲料验证需求；价格、基差和利润用于连接基本面与交易。</x:v>
      </x:c>
      <x:c r="C4" s="6" t="str"/>
      <x:c r="D4" s="6" t="str"/>
      <x:c r="E4" s="6" t="str"/>
      <x:c r="F4" s="6" t="str"/>
      <x:c r="G4" s="6" t="str"/>
      <x:c r="H4" s="6" t="str"/>
    </x:row>
    <x:row r="6" ht="32" customHeight="1">
      <x:c r="A6" s="9" t="str">
        <x:v>统计项</x:v>
      </x:c>
      <x:c r="B6" s="9" t="str">
        <x:v>数量</x:v>
      </x:c>
    </x:row>
    <x:row r="7">
      <x:c r="A7" s="13" t="str">
        <x:v>指标总数</x:v>
      </x:c>
      <x:c r="B7" s="13" t="n">
        <x:v>45</x:v>
      </x:c>
    </x:row>
    <x:row r="8">
      <x:c r="A8" s="14" t="str">
        <x:v>P0核心指标</x:v>
      </x:c>
      <x:c r="B8" s="14" t="n">
        <x:f>COUNTIF('指标数据字典'!$G$5:$G$49,"P0")</x:f>
        <x:v>32</x:v>
      </x:c>
    </x:row>
    <x:row r="9">
      <x:c r="A9" s="14" t="str">
        <x:v>可直接使用免费官方源</x:v>
      </x:c>
      <x:c r="B9" s="14" t="n">
        <x:f>COUNTIF('指标数据字典'!$L$5:$L$49,"免费")</x:f>
        <x:v>22</x:v>
      </x:c>
    </x:row>
    <x:row r="10">
      <x:c r="A10" s="14" t="str">
        <x:v>国内高频缺口</x:v>
      </x:c>
      <x:c r="B10" s="14" t="n">
        <x:f>COUNTIF('指标数据字典'!$K$5:$K$49,"待接入")</x:f>
        <x:v>1</x:v>
      </x:c>
    </x:row>
    <x:row r="12" ht="32" customHeight="1">
      <x:c r="A12" s="9" t="str">
        <x:v>实施顺序</x:v>
      </x:c>
      <x:c r="B12" s="9" t="str">
        <x:v>阶段目标</x:v>
      </x:c>
      <x:c r="C12" s="9" t="str">
        <x:v>先做内容</x:v>
      </x:c>
      <x:c r="D12" s="9" t="str">
        <x:v>成功标准</x:v>
      </x:c>
      <x:c r="E12" s="9" t="str"/>
      <x:c r="F12" s="9" t="str"/>
      <x:c r="G12" s="9" t="str"/>
      <x:c r="H12" s="9" t="str"/>
    </x:row>
    <x:row r="13">
      <x:c r="A13" s="13" t="str">
        <x:v>第1阶段</x:v>
      </x:c>
      <x:c r="B13" s="13" t="str">
        <x:v>搭出全球供需骨架</x:v>
      </x:c>
      <x:c r="C13" s="13" t="str">
        <x:v>USDA PSD、WASDE、NASS、CONAB</x:v>
      </x:c>
      <x:c r="D13" s="13" t="str">
        <x:v>能自动更新全球大豆/豆粕平衡表</x:v>
      </x:c>
      <x:c r="E13" s="13" t="str"/>
      <x:c r="F13" s="13" t="str"/>
      <x:c r="G13" s="13" t="str"/>
      <x:c r="H13" s="13" t="str"/>
    </x:row>
    <x:row r="14">
      <x:c r="A14" s="14" t="str">
        <x:v>第2阶段</x:v>
      </x:c>
      <x:c r="B14" s="14" t="str">
        <x:v>补齐中国供给</x:v>
      </x:c>
      <x:c r="C14" s="14" t="str">
        <x:v>海关进口、到港、压榨、油厂库存</x:v>
      </x:c>
      <x:c r="D14" s="14" t="str">
        <x:v>能解释未来4—8周豆粕供给</x:v>
      </x:c>
      <x:c r="E14" s="14" t="str"/>
      <x:c r="F14" s="14" t="str"/>
      <x:c r="G14" s="14" t="str"/>
      <x:c r="H14" s="14" t="str"/>
    </x:row>
    <x:row r="15">
      <x:c r="A15" s="14" t="str">
        <x:v>第3阶段</x:v>
      </x:c>
      <x:c r="B15" s="14" t="str">
        <x:v>建立需求模型</x:v>
      </x:c>
      <x:c r="C15" s="14" t="str">
        <x:v>饲料产量、生猪/母猪、禽类补栏</x:v>
      </x:c>
      <x:c r="D15" s="14" t="str">
        <x:v>能形成分品种豆粕需求预测</x:v>
      </x:c>
      <x:c r="E15" s="14" t="str"/>
      <x:c r="F15" s="14" t="str"/>
      <x:c r="G15" s="14" t="str"/>
      <x:c r="H15" s="14" t="str"/>
    </x:row>
    <x:row r="16">
      <x:c r="A16" s="14" t="str">
        <x:v>第4阶段</x:v>
      </x:c>
      <x:c r="B16" s="14" t="str">
        <x:v>连接交易指标</x:v>
      </x:c>
      <x:c r="C16" s="14" t="str">
        <x:v>期现价格、基差、利润、价差、仓单</x:v>
      </x:c>
      <x:c r="D16" s="14" t="str">
        <x:v>能生成与课件类似的季节性和强弱图</x:v>
      </x:c>
      <x:c r="E16" s="14" t="str"/>
      <x:c r="F16" s="14" t="str"/>
      <x:c r="G16" s="14" t="str"/>
      <x:c r="H16" s="14" t="str"/>
    </x:row>
    <x:row r="18">
      <x:c r="A18" s="17" t="str">
        <x:v>重要缺口</x:v>
      </x:c>
      <x:c r="B18" s="17" t="str">
        <x:v>截图中最有交易价值的国内高频数据——到港预估、周度压榨、油厂大豆/豆粕库存、未执行合同、区域现货基差——公开官方渠道不完整，需要确定 Wind、Mysteel、卓创或其他供应商中的至少一个。</x:v>
      </x:c>
      <x:c r="C18" s="17" t="str"/>
      <x:c r="D18" s="17" t="str"/>
      <x:c r="E18" s="17" t="str"/>
      <x:c r="F18" s="17" t="str"/>
      <x:c r="G18" s="17" t="str"/>
      <x:c r="H18" s="17" t="str"/>
    </x:row>
    <x:row r="19">
      <x:c r="A19" s="17" t="str">
        <x:v>建议</x:v>
      </x:c>
      <x:c r="B19" s="17" t="str">
        <x:v>先免费自动化全球供需和官方中国需求数据，再决定是否购买国内高频数据；否则模型会有结构、但缺少短周期信号。</x:v>
      </x:c>
      <x:c r="C19" s="17" t="str"/>
      <x:c r="D19" s="17" t="str"/>
      <x:c r="E19" s="17" t="str"/>
      <x:c r="F19" s="17" t="str"/>
      <x:c r="G19" s="17" t="str"/>
      <x:c r="H19" s="17" t="str"/>
    </x:row>
    <x:row r="20">
      <x:c r="A20" s="17" t="str">
        <x:v>口径</x:v>
      </x:c>
      <x:c r="B20" s="17" t="str">
        <x:v>营销年度、自然年度、日历月必须分开保存；原始值、预测值、修订值需保留版本日期。</x:v>
      </x:c>
      <x:c r="C20" s="17" t="str"/>
      <x:c r="D20" s="17" t="str"/>
      <x:c r="E20" s="17" t="str"/>
      <x:c r="F20" s="17" t="str"/>
      <x:c r="G20" s="17" t="str"/>
      <x:c r="H20" s="17" t="str"/>
    </x:row>
  </x:sheetData>
  <x:mergeCells>
    <x:mergeCell ref="A1:H2"/>
    <x:mergeCell ref="B4:H4"/>
    <x:mergeCell ref="D12:H12"/>
    <x:mergeCell ref="D13:H13"/>
    <x:mergeCell ref="D14:H14"/>
    <x:mergeCell ref="D15:H15"/>
    <x:mergeCell ref="D16:H16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14" hidden="0" customWidth="1"/>
    <x:col min="4" max="4" width="25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  <x:col min="9" max="9" width="38" hidden="0" customWidth="1"/>
    <x:col min="10" max="10" width="14" hidden="0" customWidth="1"/>
    <x:col min="11" max="11" width="14" hidden="0" customWidth="1"/>
    <x:col min="12" max="12" width="14" hidden="0" customWidth="1"/>
    <x:col min="13" max="13" width="33" hidden="0" customWidth="1"/>
  </x:cols>
  <x:sheetData>
    <x:row r="1" ht="30" customHeight="1">
      <x:c r="A1" s="3" t="str">
        <x:v>指标数据字典</x:v>
      </x:c>
      <x:c r="B1" s="3" t="str">
        <x:v>指标数据字典</x:v>
      </x:c>
      <x:c r="C1" s="3" t="str">
        <x:v>指标数据字典</x:v>
      </x:c>
      <x:c r="D1" s="3" t="str">
        <x:v>指标数据字典</x:v>
      </x:c>
      <x:c r="E1" s="3" t="str">
        <x:v>指标数据字典</x:v>
      </x:c>
      <x:c r="F1" s="3" t="str">
        <x:v>指标数据字典</x:v>
      </x:c>
      <x:c r="G1" s="3" t="str">
        <x:v>指标数据字典</x:v>
      </x:c>
      <x:c r="H1" s="3" t="str">
        <x:v>指标数据字典</x:v>
      </x:c>
      <x:c r="I1" s="3" t="str">
        <x:v>指标数据字典</x:v>
      </x:c>
      <x:c r="J1" s="3" t="str">
        <x:v>指标数据字典</x:v>
      </x:c>
      <x:c r="K1" s="3" t="str">
        <x:v>指标数据字典</x:v>
      </x:c>
      <x:c r="L1" s="3" t="str">
        <x:v>指标数据字典</x:v>
      </x:c>
      <x:c r="M1" s="3" t="str">
        <x:v>指标数据字典</x:v>
      </x:c>
    </x:row>
    <x:row r="2" ht="30" customHeight="1">
      <x:c r="A2" s="3" t="str">
        <x:v>指标数据字典</x:v>
      </x:c>
      <x:c r="B2" s="3" t="str">
        <x:v>指标数据字典</x:v>
      </x:c>
      <x:c r="C2" s="3" t="str">
        <x:v>指标数据字典</x:v>
      </x:c>
      <x:c r="D2" s="3" t="str">
        <x:v>指标数据字典</x:v>
      </x:c>
      <x:c r="E2" s="3" t="str">
        <x:v>指标数据字典</x:v>
      </x:c>
      <x:c r="F2" s="3" t="str">
        <x:v>指标数据字典</x:v>
      </x:c>
      <x:c r="G2" s="3" t="str">
        <x:v>指标数据字典</x:v>
      </x:c>
      <x:c r="H2" s="3" t="str">
        <x:v>指标数据字典</x:v>
      </x:c>
      <x:c r="I2" s="3" t="str">
        <x:v>指标数据字典</x:v>
      </x:c>
      <x:c r="J2" s="3" t="str">
        <x:v>指标数据字典</x:v>
      </x:c>
      <x:c r="K2" s="3" t="str">
        <x:v>指标数据字典</x:v>
      </x:c>
      <x:c r="L2" s="3" t="str">
        <x:v>指标数据字典</x:v>
      </x:c>
      <x:c r="M2" s="3" t="str">
        <x:v>指标数据字典</x:v>
      </x:c>
    </x:row>
    <x:row r="4" ht="32" customHeight="1">
      <x:c r="A4" s="9" t="str">
        <x:v>模块</x:v>
      </x:c>
      <x:c r="B4" s="9" t="str">
        <x:v>指标</x:v>
      </x:c>
      <x:c r="C4" s="9" t="str">
        <x:v>频率</x:v>
      </x:c>
      <x:c r="D4" s="9" t="str">
        <x:v>地区/对象</x:v>
      </x:c>
      <x:c r="E4" s="9" t="str">
        <x:v>单位</x:v>
      </x:c>
      <x:c r="F4" s="9" t="str">
        <x:v>数据类型</x:v>
      </x:c>
      <x:c r="G4" s="9" t="str">
        <x:v>优先级</x:v>
      </x:c>
      <x:c r="H4" s="9" t="str">
        <x:v>首选来源</x:v>
      </x:c>
      <x:c r="I4" s="9" t="str">
        <x:v>来源网址</x:v>
      </x:c>
      <x:c r="J4" s="9" t="str">
        <x:v>获取方式</x:v>
      </x:c>
      <x:c r="K4" s="9" t="str">
        <x:v>接入状态</x:v>
      </x:c>
      <x:c r="L4" s="9" t="str">
        <x:v>费用</x:v>
      </x:c>
      <x:c r="M4" s="9" t="str">
        <x:v>用途/口径说明</x:v>
      </x:c>
    </x:row>
    <x:row r="5">
      <x:c r="A5" s="18" t="str">
        <x:v>全球供需</x:v>
      </x:c>
      <x:c r="B5" s="13" t="str">
        <x:v>全球油料产量/出口/进口/压榨</x:v>
      </x:c>
      <x:c r="C5" s="13" t="str">
        <x:v>年/月</x:v>
      </x:c>
      <x:c r="D5" s="13" t="str">
        <x:v>全球及主要国家</x:v>
      </x:c>
      <x:c r="E5" s="13" t="str">
        <x:v>千吨</x:v>
      </x:c>
      <x:c r="F5" s="13" t="str">
        <x:v>原始</x:v>
      </x:c>
      <x:c r="G5" s="13" t="str">
        <x:v>P1</x:v>
      </x:c>
      <x:c r="H5" s="13" t="str">
        <x:v>USDA PSD</x:v>
      </x:c>
      <x:c r="I5" s="13" t="str">
        <x:v>https://apps.fas.usda.gov/PSDOnlineDataServices/swagger/ui/index</x:v>
      </x:c>
      <x:c r="J5" s="13" t="str">
        <x:v>API</x:v>
      </x:c>
      <x:c r="K5" s="13" t="str">
        <x:v>可获取</x:v>
      </x:c>
      <x:c r="L5" s="13" t="str">
        <x:v>免费</x:v>
      </x:c>
      <x:c r="M5" s="13" t="str">
        <x:v>复刻“全球油料分布”四张饼图；按油料品种聚合</x:v>
      </x:c>
    </x:row>
    <x:row r="6">
      <x:c r="A6" s="19" t="str">
        <x:v>全球供需</x:v>
      </x:c>
      <x:c r="B6" s="14" t="str">
        <x:v>大豆产量</x:v>
      </x:c>
      <x:c r="C6" s="14" t="str">
        <x:v>月度滚动/年度</x:v>
      </x:c>
      <x:c r="D6" s="14" t="str">
        <x:v>全球、美国、巴西、阿根廷、中国</x:v>
      </x:c>
      <x:c r="E6" s="14" t="str">
        <x:v>千吨</x:v>
      </x:c>
      <x:c r="F6" s="14" t="str">
        <x:v>原始</x:v>
      </x:c>
      <x:c r="G6" s="14" t="str">
        <x:v>P0</x:v>
      </x:c>
      <x:c r="H6" s="14" t="str">
        <x:v>USDA PSD</x:v>
      </x:c>
      <x:c r="I6" s="14" t="str">
        <x:v>https://apps.fas.usda.gov/PSDOnlineDataServices/swagger/ui/index</x:v>
      </x:c>
      <x:c r="J6" s="14" t="str">
        <x:v>API</x:v>
      </x:c>
      <x:c r="K6" s="14" t="str">
        <x:v>可获取</x:v>
      </x:c>
      <x:c r="L6" s="14" t="str">
        <x:v>免费</x:v>
      </x:c>
      <x:c r="M6" s="14" t="str">
        <x:v>供应端核心变量</x:v>
      </x:c>
    </x:row>
    <x:row r="7">
      <x:c r="A7" s="19" t="str">
        <x:v>全球供需</x:v>
      </x:c>
      <x:c r="B7" s="14" t="str">
        <x:v>大豆播种面积</x:v>
      </x:c>
      <x:c r="C7" s="14" t="str">
        <x:v>月度滚动/年度</x:v>
      </x:c>
      <x:c r="D7" s="14" t="str">
        <x:v>主要生产国</x:v>
      </x:c>
      <x:c r="E7" s="14" t="str">
        <x:v>千公顷</x:v>
      </x:c>
      <x:c r="F7" s="14" t="str">
        <x:v>原始</x:v>
      </x:c>
      <x:c r="G7" s="14" t="str">
        <x:v>P0</x:v>
      </x:c>
      <x:c r="H7" s="14" t="str">
        <x:v>USDA PSD / NASS / CONAB</x:v>
      </x:c>
      <x:c r="I7" s="14" t="str">
        <x:v>https://apps.fas.usda.gov/PSDOnline/app/index.html</x:v>
      </x:c>
      <x:c r="J7" s="14" t="str">
        <x:v>API/网页</x:v>
      </x:c>
      <x:c r="K7" s="14" t="str">
        <x:v>可获取</x:v>
      </x:c>
      <x:c r="L7" s="14" t="str">
        <x:v>免费</x:v>
      </x:c>
      <x:c r="M7" s="14" t="str">
        <x:v>产量=面积×单产</x:v>
      </x:c>
    </x:row>
    <x:row r="8">
      <x:c r="A8" s="19" t="str">
        <x:v>全球供需</x:v>
      </x:c>
      <x:c r="B8" s="14" t="str">
        <x:v>大豆单产</x:v>
      </x:c>
      <x:c r="C8" s="14" t="str">
        <x:v>月度滚动/年度</x:v>
      </x:c>
      <x:c r="D8" s="14" t="str">
        <x:v>主要生产国</x:v>
      </x:c>
      <x:c r="E8" s="14" t="str">
        <x:v>吨/公顷</x:v>
      </x:c>
      <x:c r="F8" s="14" t="str">
        <x:v>原始</x:v>
      </x:c>
      <x:c r="G8" s="14" t="str">
        <x:v>P0</x:v>
      </x:c>
      <x:c r="H8" s="14" t="str">
        <x:v>USDA PSD / NASS / CONAB</x:v>
      </x:c>
      <x:c r="I8" s="14" t="str">
        <x:v>https://apps.fas.usda.gov/PSDOnline/app/index.html</x:v>
      </x:c>
      <x:c r="J8" s="14" t="str">
        <x:v>API/网页</x:v>
      </x:c>
      <x:c r="K8" s="14" t="str">
        <x:v>可获取</x:v>
      </x:c>
      <x:c r="L8" s="14" t="str">
        <x:v>免费</x:v>
      </x:c>
      <x:c r="M8" s="14" t="str">
        <x:v>跟踪天气冲击</x:v>
      </x:c>
    </x:row>
    <x:row r="9">
      <x:c r="A9" s="19" t="str">
        <x:v>全球供需</x:v>
      </x:c>
      <x:c r="B9" s="14" t="str">
        <x:v>大豆期初/期末库存</x:v>
      </x:c>
      <x:c r="C9" s="14" t="str">
        <x:v>月度滚动/年度</x:v>
      </x:c>
      <x:c r="D9" s="14" t="str">
        <x:v>全球及主要国家</x:v>
      </x:c>
      <x:c r="E9" s="14" t="str">
        <x:v>千吨</x:v>
      </x:c>
      <x:c r="F9" s="14" t="str">
        <x:v>原始</x:v>
      </x:c>
      <x:c r="G9" s="14" t="str">
        <x:v>P0</x:v>
      </x:c>
      <x:c r="H9" s="14" t="str">
        <x:v>USDA PSD</x:v>
      </x:c>
      <x:c r="I9" s="14" t="str">
        <x:v>https://apps.fas.usda.gov/PSDOnlineDataServices/swagger/ui/index</x:v>
      </x:c>
      <x:c r="J9" s="14" t="str">
        <x:v>API</x:v>
      </x:c>
      <x:c r="K9" s="14" t="str">
        <x:v>可获取</x:v>
      </x:c>
      <x:c r="L9" s="14" t="str">
        <x:v>免费</x:v>
      </x:c>
      <x:c r="M9" s="14" t="str">
        <x:v>用于库存消费比</x:v>
      </x:c>
    </x:row>
    <x:row r="10">
      <x:c r="A10" s="19" t="str">
        <x:v>全球供需</x:v>
      </x:c>
      <x:c r="B10" s="14" t="str">
        <x:v>大豆进口/出口</x:v>
      </x:c>
      <x:c r="C10" s="14" t="str">
        <x:v>月度滚动/年度</x:v>
      </x:c>
      <x:c r="D10" s="14" t="str">
        <x:v>全球及主要国家</x:v>
      </x:c>
      <x:c r="E10" s="14" t="str">
        <x:v>千吨</x:v>
      </x:c>
      <x:c r="F10" s="14" t="str">
        <x:v>原始</x:v>
      </x:c>
      <x:c r="G10" s="14" t="str">
        <x:v>P0</x:v>
      </x:c>
      <x:c r="H10" s="14" t="str">
        <x:v>USDA PSD</x:v>
      </x:c>
      <x:c r="I10" s="14" t="str">
        <x:v>https://apps.fas.usda.gov/PSDOnlineDataServices/swagger/ui/index</x:v>
      </x:c>
      <x:c r="J10" s="14" t="str">
        <x:v>API</x:v>
      </x:c>
      <x:c r="K10" s="14" t="str">
        <x:v>可获取</x:v>
      </x:c>
      <x:c r="L10" s="14" t="str">
        <x:v>免费</x:v>
      </x:c>
      <x:c r="M10" s="14" t="str">
        <x:v>贸易平衡</x:v>
      </x:c>
    </x:row>
    <x:row r="11">
      <x:c r="A11" s="19" t="str">
        <x:v>全球供需</x:v>
      </x:c>
      <x:c r="B11" s="14" t="str">
        <x:v>大豆压榨量</x:v>
      </x:c>
      <x:c r="C11" s="14" t="str">
        <x:v>月度滚动/年度</x:v>
      </x:c>
      <x:c r="D11" s="14" t="str">
        <x:v>全球及主要国家</x:v>
      </x:c>
      <x:c r="E11" s="14" t="str">
        <x:v>千吨</x:v>
      </x:c>
      <x:c r="F11" s="14" t="str">
        <x:v>原始</x:v>
      </x:c>
      <x:c r="G11" s="14" t="str">
        <x:v>P0</x:v>
      </x:c>
      <x:c r="H11" s="14" t="str">
        <x:v>USDA PSD</x:v>
      </x:c>
      <x:c r="I11" s="14" t="str">
        <x:v>https://apps.fas.usda.gov/PSDOnlineDataServices/swagger/ui/index</x:v>
      </x:c>
      <x:c r="J11" s="14" t="str">
        <x:v>API</x:v>
      </x:c>
      <x:c r="K11" s="14" t="str">
        <x:v>可获取</x:v>
      </x:c>
      <x:c r="L11" s="14" t="str">
        <x:v>免费</x:v>
      </x:c>
      <x:c r="M11" s="14" t="str">
        <x:v>豆粕供给的源头</x:v>
      </x:c>
    </x:row>
    <x:row r="12">
      <x:c r="A12" s="19" t="str">
        <x:v>全球供需</x:v>
      </x:c>
      <x:c r="B12" s="14" t="str">
        <x:v>豆粕产量/消费/贸易/库存</x:v>
      </x:c>
      <x:c r="C12" s="14" t="str">
        <x:v>月度滚动/年度</x:v>
      </x:c>
      <x:c r="D12" s="14" t="str">
        <x:v>全球及主要国家</x:v>
      </x:c>
      <x:c r="E12" s="14" t="str">
        <x:v>千吨</x:v>
      </x:c>
      <x:c r="F12" s="14" t="str">
        <x:v>原始</x:v>
      </x:c>
      <x:c r="G12" s="14" t="str">
        <x:v>P0</x:v>
      </x:c>
      <x:c r="H12" s="14" t="str">
        <x:v>USDA PSD</x:v>
      </x:c>
      <x:c r="I12" s="14" t="str">
        <x:v>https://apps.fas.usda.gov/PSDOnlineDataServices/swagger/ui/index</x:v>
      </x:c>
      <x:c r="J12" s="14" t="str">
        <x:v>API</x:v>
      </x:c>
      <x:c r="K12" s="14" t="str">
        <x:v>可获取</x:v>
      </x:c>
      <x:c r="L12" s="14" t="str">
        <x:v>免费</x:v>
      </x:c>
      <x:c r="M12" s="14" t="str">
        <x:v>建立豆粕全球平衡表</x:v>
      </x:c>
    </x:row>
    <x:row r="13">
      <x:c r="A13" s="19" t="str">
        <x:v>全球供需</x:v>
      </x:c>
      <x:c r="B13" s="14" t="str">
        <x:v>库存消费比</x:v>
      </x:c>
      <x:c r="C13" s="14" t="str">
        <x:v>月度滚动/年度</x:v>
      </x:c>
      <x:c r="D13" s="14" t="str">
        <x:v>全球及主要国家</x:v>
      </x:c>
      <x:c r="E13" s="14" t="str">
        <x:v>%</x:v>
      </x:c>
      <x:c r="F13" s="14" t="str">
        <x:v>派生</x:v>
      </x:c>
      <x:c r="G13" s="14" t="str">
        <x:v>P0</x:v>
      </x:c>
      <x:c r="H13" s="14" t="str">
        <x:v>由PSD计算</x:v>
      </x:c>
      <x:c r="I13" s="14" t="str">
        <x:v>https://apps.fas.usda.gov/PSDOnlineDataServices/swagger/ui/index</x:v>
      </x:c>
      <x:c r="J13" s="14" t="str">
        <x:v>公式</x:v>
      </x:c>
      <x:c r="K13" s="14" t="str">
        <x:v>需整理</x:v>
      </x:c>
      <x:c r="L13" s="14" t="str">
        <x:v>免费</x:v>
      </x:c>
      <x:c r="M13" s="14" t="str">
        <x:v>期末库存÷国内消费</x:v>
      </x:c>
    </x:row>
    <x:row r="14">
      <x:c r="A14" s="19" t="str">
        <x:v>美豆生长</x:v>
      </x:c>
      <x:c r="B14" s="14" t="str">
        <x:v>种植、出苗、开花、结荚、落叶、收割进度</x:v>
      </x:c>
      <x:c r="C14" s="14" t="str">
        <x:v>周</x:v>
      </x:c>
      <x:c r="D14" s="14" t="str">
        <x:v>美国及主产州</x:v>
      </x:c>
      <x:c r="E14" s="14" t="str">
        <x:v>%</x:v>
      </x:c>
      <x:c r="F14" s="14" t="str">
        <x:v>原始</x:v>
      </x:c>
      <x:c r="G14" s="14" t="str">
        <x:v>P0</x:v>
      </x:c>
      <x:c r="H14" s="14" t="str">
        <x:v>USDA NASS Crop Progress</x:v>
      </x:c>
      <x:c r="I14" s="14" t="str">
        <x:v>https://www.nass.usda.gov/Publications/National_Crop_Progress/index.php</x:v>
      </x:c>
      <x:c r="J14" s="14" t="str">
        <x:v>网页/PDF</x:v>
      </x:c>
      <x:c r="K14" s="14" t="str">
        <x:v>可获取</x:v>
      </x:c>
      <x:c r="L14" s="14" t="str">
        <x:v>免费</x:v>
      </x:c>
      <x:c r="M14" s="14" t="str">
        <x:v>与5年均值和去年同期比较</x:v>
      </x:c>
    </x:row>
    <x:row r="15">
      <x:c r="A15" s="19" t="str">
        <x:v>美豆生长</x:v>
      </x:c>
      <x:c r="B15" s="14" t="str">
        <x:v>优良率/差劣率</x:v>
      </x:c>
      <x:c r="C15" s="14" t="str">
        <x:v>周</x:v>
      </x:c>
      <x:c r="D15" s="14" t="str">
        <x:v>美国及主产州</x:v>
      </x:c>
      <x:c r="E15" s="14" t="str">
        <x:v>%</x:v>
      </x:c>
      <x:c r="F15" s="14" t="str">
        <x:v>原始</x:v>
      </x:c>
      <x:c r="G15" s="14" t="str">
        <x:v>P0</x:v>
      </x:c>
      <x:c r="H15" s="14" t="str">
        <x:v>USDA NASS Crop Progress</x:v>
      </x:c>
      <x:c r="I15" s="14" t="str">
        <x:v>https://www.nass.usda.gov/Publications/National_Crop_Progress/index.php</x:v>
      </x:c>
      <x:c r="J15" s="14" t="str">
        <x:v>网页/PDF</x:v>
      </x:c>
      <x:c r="K15" s="14" t="str">
        <x:v>可获取</x:v>
      </x:c>
      <x:c r="L15" s="14" t="str">
        <x:v>免费</x:v>
      </x:c>
      <x:c r="M15" s="14" t="str">
        <x:v>单产预期的高频代理</x:v>
      </x:c>
    </x:row>
    <x:row r="16">
      <x:c r="A16" s="19" t="str">
        <x:v>美豆生长</x:v>
      </x:c>
      <x:c r="B16" s="14" t="str">
        <x:v>种植面积/收获面积/单产/产量</x:v>
      </x:c>
      <x:c r="C16" s="14" t="str">
        <x:v>月/年</x:v>
      </x:c>
      <x:c r="D16" s="14" t="str">
        <x:v>美国及主产州</x:v>
      </x:c>
      <x:c r="E16" s="14" t="str">
        <x:v>英亩、蒲式耳/英亩</x:v>
      </x:c>
      <x:c r="F16" s="14" t="str">
        <x:v>原始</x:v>
      </x:c>
      <x:c r="G16" s="14" t="str">
        <x:v>P0</x:v>
      </x:c>
      <x:c r="H16" s="14" t="str">
        <x:v>USDA NASS Quick Stats</x:v>
      </x:c>
      <x:c r="I16" s="14" t="str">
        <x:v>https://quickstats.nass.usda.gov/</x:v>
      </x:c>
      <x:c r="J16" s="14" t="str">
        <x:v>API/下载</x:v>
      </x:c>
      <x:c r="K16" s="14" t="str">
        <x:v>可获取</x:v>
      </x:c>
      <x:c r="L16" s="14" t="str">
        <x:v>免费</x:v>
      </x:c>
      <x:c r="M16" s="14" t="str">
        <x:v>面积与单产拆解</x:v>
      </x:c>
    </x:row>
    <x:row r="17">
      <x:c r="A17" s="19" t="str">
        <x:v>天气</x:v>
      </x:c>
      <x:c r="B17" s="14" t="str">
        <x:v>降水、温度、土壤墒情、干旱等级</x:v>
      </x:c>
      <x:c r="C17" s="14" t="str">
        <x:v>日/周</x:v>
      </x:c>
      <x:c r="D17" s="14" t="str">
        <x:v>美国、巴西、阿根廷主产区</x:v>
      </x:c>
      <x:c r="E17" s="14" t="str">
        <x:v>多单位</x:v>
      </x:c>
      <x:c r="F17" s="14" t="str">
        <x:v>原始</x:v>
      </x:c>
      <x:c r="G17" s="14" t="str">
        <x:v>P1</x:v>
      </x:c>
      <x:c r="H17" s="14" t="str">
        <x:v>NOAA及各国气象机构</x:v>
      </x:c>
      <x:c r="I17" s="14" t="str">
        <x:v>https://www.ncei.noaa.gov/access</x:v>
      </x:c>
      <x:c r="J17" s="14" t="str">
        <x:v>API/下载</x:v>
      </x:c>
      <x:c r="K17" s="14" t="str">
        <x:v>可获取</x:v>
      </x:c>
      <x:c r="L17" s="14" t="str">
        <x:v>免费</x:v>
      </x:c>
      <x:c r="M17" s="14" t="str">
        <x:v>按作物生育期加权</x:v>
      </x:c>
    </x:row>
    <x:row r="18">
      <x:c r="A18" s="19" t="str">
        <x:v>南美产量</x:v>
      </x:c>
      <x:c r="B18" s="14" t="str">
        <x:v>巴西大豆面积/单产/产量/收获进度</x:v>
      </x:c>
      <x:c r="C18" s="14" t="str">
        <x:v>月/周</x:v>
      </x:c>
      <x:c r="D18" s="14" t="str">
        <x:v>巴西及各州</x:v>
      </x:c>
      <x:c r="E18" s="14" t="str">
        <x:v>千公顷、千吨</x:v>
      </x:c>
      <x:c r="F18" s="14" t="str">
        <x:v>原始</x:v>
      </x:c>
      <x:c r="G18" s="14" t="str">
        <x:v>P0</x:v>
      </x:c>
      <x:c r="H18" s="14" t="str">
        <x:v>CONAB</x:v>
      </x:c>
      <x:c r="I18" s="14" t="str">
        <x:v>https://www.conab.gov.br/info-agro/safras</x:v>
      </x:c>
      <x:c r="J18" s="14" t="str">
        <x:v>Excel/PDF</x:v>
      </x:c>
      <x:c r="K18" s="14" t="str">
        <x:v>可获取</x:v>
      </x:c>
      <x:c r="L18" s="14" t="str">
        <x:v>免费</x:v>
      </x:c>
      <x:c r="M18" s="14" t="str">
        <x:v>与USDA口径并列保留</x:v>
      </x:c>
    </x:row>
    <x:row r="19">
      <x:c r="A19" s="19" t="str">
        <x:v>南美产量</x:v>
      </x:c>
      <x:c r="B19" s="14" t="str">
        <x:v>阿根廷大豆面积/单产/产量/进度</x:v>
      </x:c>
      <x:c r="C19" s="14" t="str">
        <x:v>周/月</x:v>
      </x:c>
      <x:c r="D19" s="14" t="str">
        <x:v>阿根廷及主产区</x:v>
      </x:c>
      <x:c r="E19" s="14" t="str">
        <x:v>千公顷、千吨</x:v>
      </x:c>
      <x:c r="F19" s="14" t="str">
        <x:v>原始</x:v>
      </x:c>
      <x:c r="G19" s="14" t="str">
        <x:v>P1</x:v>
      </x:c>
      <x:c r="H19" s="14" t="str">
        <x:v>阿根廷农业部</x:v>
      </x:c>
      <x:c r="I19" s="14" t="str">
        <x:v>https://www.magyp.gob.ar/sitio/areas/estimaciones/</x:v>
      </x:c>
      <x:c r="J19" s="14" t="str">
        <x:v>网页/PDF</x:v>
      </x:c>
      <x:c r="K19" s="14" t="str">
        <x:v>可获取</x:v>
      </x:c>
      <x:c r="L19" s="14" t="str">
        <x:v>免费</x:v>
      </x:c>
      <x:c r="M19" s="14" t="str">
        <x:v>必要时补布交所数据</x:v>
      </x:c>
    </x:row>
    <x:row r="20">
      <x:c r="A20" s="19" t="str">
        <x:v>作物日历</x:v>
      </x:c>
      <x:c r="B20" s="14" t="str">
        <x:v>播种/开花/灌浆/收获窗口</x:v>
      </x:c>
      <x:c r="C20" s="14" t="str">
        <x:v>年度维护</x:v>
      </x:c>
      <x:c r="D20" s="14" t="str">
        <x:v>美国、巴西、阿根廷、中国</x:v>
      </x:c>
      <x:c r="E20" s="14" t="str">
        <x:v>月/周</x:v>
      </x:c>
      <x:c r="F20" s="14" t="str">
        <x:v>维表</x:v>
      </x:c>
      <x:c r="G20" s="14" t="str">
        <x:v>P0</x:v>
      </x:c>
      <x:c r="H20" s="14" t="str">
        <x:v>USDA/CONAB/各国农业部门</x:v>
      </x:c>
      <x:c r="I20" s="14" t="str">
        <x:v>https://www.nass.usda.gov/Publications/National_Crop_Progress/index.php</x:v>
      </x:c>
      <x:c r="J20" s="14" t="str">
        <x:v>人工维护</x:v>
      </x:c>
      <x:c r="K20" s="14" t="str">
        <x:v>需整理</x:v>
      </x:c>
      <x:c r="L20" s="14" t="str">
        <x:v>免费</x:v>
      </x:c>
      <x:c r="M20" s="14" t="str">
        <x:v>用于判断天气变量权重</x:v>
      </x:c>
    </x:row>
    <x:row r="21">
      <x:c r="A21" s="19" t="str">
        <x:v>中国进口</x:v>
      </x:c>
      <x:c r="B21" s="14" t="str">
        <x:v>大豆进口量及金额</x:v>
      </x:c>
      <x:c r="C21" s="14" t="str">
        <x:v>月</x:v>
      </x:c>
      <x:c r="D21" s="14" t="str">
        <x:v>中国总量</x:v>
      </x:c>
      <x:c r="E21" s="14" t="str">
        <x:v>万吨、亿元/美元</x:v>
      </x:c>
      <x:c r="F21" s="14" t="str">
        <x:v>原始</x:v>
      </x:c>
      <x:c r="G21" s="14" t="str">
        <x:v>P0</x:v>
      </x:c>
      <x:c r="H21" s="14" t="str">
        <x:v>海关总署</x:v>
      </x:c>
      <x:c r="I21" s="14" t="str">
        <x:v>https://english.customs.gov.cn/Statistics/Statistics</x:v>
      </x:c>
      <x:c r="J21" s="14" t="str">
        <x:v>网页/下载</x:v>
      </x:c>
      <x:c r="K21" s="14" t="str">
        <x:v>可获取</x:v>
      </x:c>
      <x:c r="L21" s="14" t="str">
        <x:v>免费</x:v>
      </x:c>
      <x:c r="M21" s="14" t="str">
        <x:v>前端需求验证</x:v>
      </x:c>
    </x:row>
    <x:row r="22">
      <x:c r="A22" s="19" t="str">
        <x:v>中国进口</x:v>
      </x:c>
      <x:c r="B22" s="14" t="str">
        <x:v>大豆分来源国进口量</x:v>
      </x:c>
      <x:c r="C22" s="14" t="str">
        <x:v>月</x:v>
      </x:c>
      <x:c r="D22" s="14" t="str">
        <x:v>巴西、美国、阿根廷等</x:v>
      </x:c>
      <x:c r="E22" s="14" t="str">
        <x:v>吨</x:v>
      </x:c>
      <x:c r="F22" s="14" t="str">
        <x:v>原始</x:v>
      </x:c>
      <x:c r="G22" s="14" t="str">
        <x:v>P0</x:v>
      </x:c>
      <x:c r="H22" s="14" t="str">
        <x:v>海关总署统计查询</x:v>
      </x:c>
      <x:c r="I22" s="14" t="str">
        <x:v>https://english.customs.gov.cn/Statistics/Statistics</x:v>
      </x:c>
      <x:c r="J22" s="14" t="str">
        <x:v>查询/下载</x:v>
      </x:c>
      <x:c r="K22" s="14" t="str">
        <x:v>可获取</x:v>
      </x:c>
      <x:c r="L22" s="14" t="str">
        <x:v>部分受限</x:v>
      </x:c>
      <x:c r="M22" s="14" t="str">
        <x:v>用于到港结构和成本</x:v>
      </x:c>
    </x:row>
    <x:row r="23">
      <x:c r="A23" s="19" t="str">
        <x:v>中国进口</x:v>
      </x:c>
      <x:c r="B23" s="14" t="str">
        <x:v>巴西/美国/阿根廷大豆出口量</x:v>
      </x:c>
      <x:c r="C23" s="14" t="str">
        <x:v>月/日</x:v>
      </x:c>
      <x:c r="D23" s="14" t="str">
        <x:v>来源国→中国/全球</x:v>
      </x:c>
      <x:c r="E23" s="14" t="str">
        <x:v>吨</x:v>
      </x:c>
      <x:c r="F23" s="14" t="str">
        <x:v>原始</x:v>
      </x:c>
      <x:c r="G23" s="14" t="str">
        <x:v>P1</x:v>
      </x:c>
      <x:c r="H23" s="14" t="str">
        <x:v>Comex Stat/USDA/阿根廷官方</x:v>
      </x:c>
      <x:c r="I23" s="14" t="str">
        <x:v>https://comexstat.mdic.gov.br/en/home</x:v>
      </x:c>
      <x:c r="J23" s="14" t="str">
        <x:v>下载/API</x:v>
      </x:c>
      <x:c r="K23" s="14" t="str">
        <x:v>可获取</x:v>
      </x:c>
      <x:c r="L23" s="14" t="str">
        <x:v>免费</x:v>
      </x:c>
      <x:c r="M23" s="14" t="str">
        <x:v>交叉验证中国进口</x:v>
      </x:c>
    </x:row>
    <x:row r="24">
      <x:c r="A24" s="19" t="str">
        <x:v>中国进口</x:v>
      </x:c>
      <x:c r="B24" s="14" t="str">
        <x:v>大豆到港量/到港预估</x:v>
      </x:c>
      <x:c r="C24" s="14" t="str">
        <x:v>周/月</x:v>
      </x:c>
      <x:c r="D24" s="14" t="str">
        <x:v>中国港口</x:v>
      </x:c>
      <x:c r="E24" s="14" t="str">
        <x:v>万吨</x:v>
      </x:c>
      <x:c r="F24" s="14" t="str">
        <x:v>原始</x:v>
      </x:c>
      <x:c r="G24" s="14" t="str">
        <x:v>P0</x:v>
      </x:c>
      <x:c r="H24" s="14" t="str">
        <x:v>船期机构/行业资讯</x:v>
      </x:c>
      <x:c r="I24" s="14" t="str">
        <x:v>待接入</x:v>
      </x:c>
      <x:c r="J24" s="14" t="str">
        <x:v>付费居多</x:v>
      </x:c>
      <x:c r="K24" s="14" t="str">
        <x:v>需整理</x:v>
      </x:c>
      <x:c r="L24" s="14" t="str">
        <x:v>公开官方数据不足，需选供应商</x:v>
      </x:c>
      <x:c r="M24" s="14"/>
    </x:row>
    <x:row r="25">
      <x:c r="A25" s="19" t="str">
        <x:v>压榨供给</x:v>
      </x:c>
      <x:c r="B25" s="14" t="str">
        <x:v>全国大豆压榨量</x:v>
      </x:c>
      <x:c r="C25" s="14" t="str">
        <x:v>周</x:v>
      </x:c>
      <x:c r="D25" s="14" t="str">
        <x:v>全国及区域</x:v>
      </x:c>
      <x:c r="E25" s="14" t="str">
        <x:v>万吨</x:v>
      </x:c>
      <x:c r="F25" s="14" t="str">
        <x:v>原始</x:v>
      </x:c>
      <x:c r="G25" s="14" t="str">
        <x:v>P0</x:v>
      </x:c>
      <x:c r="H25" s="14" t="str">
        <x:v>粮油信息中心/行业资讯</x:v>
      </x:c>
      <x:c r="I25" s="14" t="str">
        <x:v>待接入</x:v>
      </x:c>
      <x:c r="J25" s="14" t="str">
        <x:v>部分付费</x:v>
      </x:c>
      <x:c r="K25" s="14" t="str">
        <x:v>需整理</x:v>
      </x:c>
      <x:c r="L25" s="14" t="str">
        <x:v>决定豆粕短期产量</x:v>
      </x:c>
      <x:c r="M25" s="14"/>
    </x:row>
    <x:row r="26">
      <x:c r="A26" s="19" t="str">
        <x:v>压榨供给</x:v>
      </x:c>
      <x:c r="B26" s="14" t="str">
        <x:v>油厂开机率</x:v>
      </x:c>
      <x:c r="C26" s="14" t="str">
        <x:v>周</x:v>
      </x:c>
      <x:c r="D26" s="14" t="str">
        <x:v>全国及区域</x:v>
      </x:c>
      <x:c r="E26" s="14" t="str">
        <x:v>%</x:v>
      </x:c>
      <x:c r="F26" s="14" t="str">
        <x:v>原始</x:v>
      </x:c>
      <x:c r="G26" s="14" t="str">
        <x:v>P0</x:v>
      </x:c>
      <x:c r="H26" s="14" t="str">
        <x:v>行业资讯</x:v>
      </x:c>
      <x:c r="I26" s="14" t="str">
        <x:v>待接入</x:v>
      </x:c>
      <x:c r="J26" s="14" t="str">
        <x:v>付费居多</x:v>
      </x:c>
      <x:c r="K26" s="14" t="str">
        <x:v>需整理</x:v>
      </x:c>
      <x:c r="L26" s="14" t="str">
        <x:v>与压榨量互相校验</x:v>
      </x:c>
      <x:c r="M26" s="14"/>
    </x:row>
    <x:row r="27">
      <x:c r="A27" s="19" t="str">
        <x:v>压榨供给</x:v>
      </x:c>
      <x:c r="B27" s="14" t="str">
        <x:v>主要油厂压榨产能</x:v>
      </x:c>
      <x:c r="C27" s="14" t="str">
        <x:v>年度</x:v>
      </x:c>
      <x:c r="D27" s="14" t="str">
        <x:v>企业/区域</x:v>
      </x:c>
      <x:c r="E27" s="14" t="str">
        <x:v>万吨/年、吨/日</x:v>
      </x:c>
      <x:c r="F27" s="14" t="str">
        <x:v>原始</x:v>
      </x:c>
      <x:c r="G27" s="14" t="str">
        <x:v>P1</x:v>
      </x:c>
      <x:c r="H27" s="14" t="str">
        <x:v>企业公告/行业名录</x:v>
      </x:c>
      <x:c r="I27" s="14" t="str">
        <x:v>https://www.dce.com.cn/</x:v>
      </x:c>
      <x:c r="J27" s="14" t="str">
        <x:v>人工维护</x:v>
      </x:c>
      <x:c r="K27" s="14" t="str">
        <x:v>需整理</x:v>
      </x:c>
      <x:c r="L27" s="14" t="str">
        <x:v>混合</x:v>
      </x:c>
      <x:c r="M27" s="14" t="str">
        <x:v>对应截图的区域与集团分布</x:v>
      </x:c>
    </x:row>
    <x:row r="28">
      <x:c r="A28" s="19" t="str">
        <x:v>库存</x:v>
      </x:c>
      <x:c r="B28" s="14" t="str">
        <x:v>港口进口大豆库存</x:v>
      </x:c>
      <x:c r="C28" s="14" t="str">
        <x:v>周</x:v>
      </x:c>
      <x:c r="D28" s="14" t="str">
        <x:v>全国及港口</x:v>
      </x:c>
      <x:c r="E28" s="14" t="str">
        <x:v>万吨</x:v>
      </x:c>
      <x:c r="F28" s="14" t="str">
        <x:v>原始</x:v>
      </x:c>
      <x:c r="G28" s="14" t="str">
        <x:v>P0</x:v>
      </x:c>
      <x:c r="H28" s="14" t="str">
        <x:v>行业资讯/港口数据</x:v>
      </x:c>
      <x:c r="I28" s="14" t="str">
        <x:v>待接入</x:v>
      </x:c>
      <x:c r="J28" s="14" t="str">
        <x:v>付费居多</x:v>
      </x:c>
      <x:c r="K28" s="14" t="str">
        <x:v>需整理</x:v>
      </x:c>
      <x:c r="L28" s="14" t="str">
        <x:v>原料库存</x:v>
      </x:c>
      <x:c r="M28" s="14"/>
    </x:row>
    <x:row r="29">
      <x:c r="A29" s="19" t="str">
        <x:v>库存</x:v>
      </x:c>
      <x:c r="B29" s="14" t="str">
        <x:v>油厂大豆库存</x:v>
      </x:c>
      <x:c r="C29" s="14" t="str">
        <x:v>周</x:v>
      </x:c>
      <x:c r="D29" s="14" t="str">
        <x:v>全国及区域</x:v>
      </x:c>
      <x:c r="E29" s="14" t="str">
        <x:v>万吨</x:v>
      </x:c>
      <x:c r="F29" s="14" t="str">
        <x:v>原始</x:v>
      </x:c>
      <x:c r="G29" s="14" t="str">
        <x:v>P0</x:v>
      </x:c>
      <x:c r="H29" s="14" t="str">
        <x:v>行业资讯</x:v>
      </x:c>
      <x:c r="I29" s="14" t="str">
        <x:v>待接入</x:v>
      </x:c>
      <x:c r="J29" s="14" t="str">
        <x:v>付费居多</x:v>
      </x:c>
      <x:c r="K29" s="14" t="str">
        <x:v>需整理</x:v>
      </x:c>
      <x:c r="L29" s="14" t="str">
        <x:v>压榨可持续性</x:v>
      </x:c>
      <x:c r="M29" s="14"/>
    </x:row>
    <x:row r="30">
      <x:c r="A30" s="19" t="str">
        <x:v>库存</x:v>
      </x:c>
      <x:c r="B30" s="14" t="str">
        <x:v>油厂豆粕库存</x:v>
      </x:c>
      <x:c r="C30" s="14" t="str">
        <x:v>周</x:v>
      </x:c>
      <x:c r="D30" s="14" t="str">
        <x:v>全国及区域</x:v>
      </x:c>
      <x:c r="E30" s="14" t="str">
        <x:v>万吨</x:v>
      </x:c>
      <x:c r="F30" s="14" t="str">
        <x:v>原始</x:v>
      </x:c>
      <x:c r="G30" s="14" t="str">
        <x:v>P0</x:v>
      </x:c>
      <x:c r="H30" s="14" t="str">
        <x:v>行业资讯</x:v>
      </x:c>
      <x:c r="I30" s="14" t="str">
        <x:v>待接入</x:v>
      </x:c>
      <x:c r="J30" s="14" t="str">
        <x:v>付费居多</x:v>
      </x:c>
      <x:c r="K30" s="14" t="str">
        <x:v>需整理</x:v>
      </x:c>
      <x:c r="L30" s="14" t="str">
        <x:v>现货供需核心变量</x:v>
      </x:c>
      <x:c r="M30" s="14"/>
    </x:row>
    <x:row r="31">
      <x:c r="A31" s="19" t="str">
        <x:v>库存</x:v>
      </x:c>
      <x:c r="B31" s="14" t="str">
        <x:v>豆粕未执行合同/提货量</x:v>
      </x:c>
      <x:c r="C31" s="14" t="str">
        <x:v>周</x:v>
      </x:c>
      <x:c r="D31" s="14" t="str">
        <x:v>全国及区域</x:v>
      </x:c>
      <x:c r="E31" s="14" t="str">
        <x:v>万吨</x:v>
      </x:c>
      <x:c r="F31" s="14" t="str">
        <x:v>原始</x:v>
      </x:c>
      <x:c r="G31" s="14" t="str">
        <x:v>P1</x:v>
      </x:c>
      <x:c r="H31" s="14" t="str">
        <x:v>行业资讯</x:v>
      </x:c>
      <x:c r="I31" s="14" t="str">
        <x:v>待接入</x:v>
      </x:c>
      <x:c r="J31" s="14" t="str">
        <x:v>付费居多</x:v>
      </x:c>
      <x:c r="K31" s="14" t="str">
        <x:v>需整理</x:v>
      </x:c>
      <x:c r="L31" s="14" t="str">
        <x:v>预售与真实提货</x:v>
      </x:c>
      <x:c r="M31" s="14"/>
    </x:row>
    <x:row r="32">
      <x:c r="A32" s="19" t="str">
        <x:v>下游需求</x:v>
      </x:c>
      <x:c r="B32" s="14" t="str">
        <x:v>饲料产量：猪料/禽料/水产料/反刍料</x:v>
      </x:c>
      <x:c r="C32" s="14" t="str">
        <x:v>月</x:v>
      </x:c>
      <x:c r="D32" s="14" t="str">
        <x:v>全国</x:v>
      </x:c>
      <x:c r="E32" s="14" t="str">
        <x:v>万吨</x:v>
      </x:c>
      <x:c r="F32" s="14" t="str">
        <x:v>原始</x:v>
      </x:c>
      <x:c r="G32" s="14" t="str">
        <x:v>P0</x:v>
      </x:c>
      <x:c r="H32" s="14" t="str">
        <x:v>中国饲料工业协会</x:v>
      </x:c>
      <x:c r="I32" s="14" t="str">
        <x:v>https://www.chinafeed.org.cn/</x:v>
      </x:c>
      <x:c r="J32" s="14" t="str">
        <x:v>网页</x:v>
      </x:c>
      <x:c r="K32" s="14" t="str">
        <x:v>可获取</x:v>
      </x:c>
      <x:c r="L32" s="14" t="str">
        <x:v>公开汇总</x:v>
      </x:c>
      <x:c r="M32" s="14" t="str">
        <x:v>豆粕需求的直接代理</x:v>
      </x:c>
    </x:row>
    <x:row r="33">
      <x:c r="A33" s="19" t="str">
        <x:v>下游需求</x:v>
      </x:c>
      <x:c r="B33" s="14" t="str">
        <x:v>生猪存栏/出栏</x:v>
      </x:c>
      <x:c r="C33" s="14" t="str">
        <x:v>季/月</x:v>
      </x:c>
      <x:c r="D33" s="14" t="str">
        <x:v>全国</x:v>
      </x:c>
      <x:c r="E33" s="14" t="str">
        <x:v>万头</x:v>
      </x:c>
      <x:c r="F33" s="14" t="str">
        <x:v>原始</x:v>
      </x:c>
      <x:c r="G33" s="14" t="str">
        <x:v>P0</x:v>
      </x:c>
      <x:c r="H33" s="14" t="str">
        <x:v>国家统计局/农业农村部</x:v>
      </x:c>
      <x:c r="I33" s="14" t="str">
        <x:v>https://data.stats.gov.cn/</x:v>
      </x:c>
      <x:c r="J33" s="14" t="str">
        <x:v>网页/API</x:v>
      </x:c>
      <x:c r="K33" s="14" t="str">
        <x:v>可获取</x:v>
      </x:c>
      <x:c r="L33" s="14" t="str">
        <x:v>免费</x:v>
      </x:c>
      <x:c r="M33" s="14" t="str">
        <x:v>存栏决定饲料消费基数</x:v>
      </x:c>
    </x:row>
    <x:row r="34">
      <x:c r="A34" s="19" t="str">
        <x:v>下游需求</x:v>
      </x:c>
      <x:c r="B34" s="14" t="str">
        <x:v>能繁母猪存栏</x:v>
      </x:c>
      <x:c r="C34" s="14" t="str">
        <x:v>季/月</x:v>
      </x:c>
      <x:c r="D34" s="14" t="str">
        <x:v>全国</x:v>
      </x:c>
      <x:c r="E34" s="14" t="str">
        <x:v>万头</x:v>
      </x:c>
      <x:c r="F34" s="14" t="str">
        <x:v>原始</x:v>
      </x:c>
      <x:c r="G34" s="14" t="str">
        <x:v>P0</x:v>
      </x:c>
      <x:c r="H34" s="14" t="str">
        <x:v>国家统计局/农业农村部</x:v>
      </x:c>
      <x:c r="I34" s="14" t="str">
        <x:v>https://www.moa.gov.cn/ztzl/szcpxx/jdsj/</x:v>
      </x:c>
      <x:c r="J34" s="14" t="str">
        <x:v>网页/PDF</x:v>
      </x:c>
      <x:c r="K34" s="14" t="str">
        <x:v>可获取</x:v>
      </x:c>
      <x:c r="L34" s="14" t="str">
        <x:v>免费</x:v>
      </x:c>
      <x:c r="M34" s="14" t="str">
        <x:v>约领先生猪供给10个月</x:v>
      </x:c>
    </x:row>
    <x:row r="35">
      <x:c r="A35" s="19" t="str">
        <x:v>下游需求</x:v>
      </x:c>
      <x:c r="B35" s="14" t="str">
        <x:v>蛋鸡苗补栏/蛋鸡存栏</x:v>
      </x:c>
      <x:c r="C35" s="14" t="str">
        <x:v>月</x:v>
      </x:c>
      <x:c r="D35" s="14" t="str">
        <x:v>全国</x:v>
      </x:c>
      <x:c r="E35" s="14" t="str">
        <x:v>万羽</x:v>
      </x:c>
      <x:c r="F35" s="14" t="str">
        <x:v>原始</x:v>
      </x:c>
      <x:c r="G35" s="14" t="str">
        <x:v>P1</x:v>
      </x:c>
      <x:c r="H35" s="14" t="str">
        <x:v>行业协会/行业资讯</x:v>
      </x:c>
      <x:c r="I35" s="14" t="str">
        <x:v>待接入</x:v>
      </x:c>
      <x:c r="J35" s="14" t="str">
        <x:v>付费居多</x:v>
      </x:c>
      <x:c r="K35" s="14" t="str">
        <x:v>需整理</x:v>
      </x:c>
      <x:c r="L35" s="14" t="str">
        <x:v>约领先蛋禽料需求16个月</x:v>
      </x:c>
      <x:c r="M35" s="14"/>
    </x:row>
    <x:row r="36">
      <x:c r="A36" s="19" t="str">
        <x:v>下游需求</x:v>
      </x:c>
      <x:c r="B36" s="14" t="str">
        <x:v>肉鸡苗补栏/肉鸡存栏</x:v>
      </x:c>
      <x:c r="C36" s="14" t="str">
        <x:v>周/月</x:v>
      </x:c>
      <x:c r="D36" s="14" t="str">
        <x:v>全国</x:v>
      </x:c>
      <x:c r="E36" s="14" t="str">
        <x:v>万羽</x:v>
      </x:c>
      <x:c r="F36" s="14" t="str">
        <x:v>原始</x:v>
      </x:c>
      <x:c r="G36" s="14" t="str">
        <x:v>P1</x:v>
      </x:c>
      <x:c r="H36" s="14" t="str">
        <x:v>行业协会/行业资讯</x:v>
      </x:c>
      <x:c r="I36" s="14" t="str">
        <x:v>待接入</x:v>
      </x:c>
      <x:c r="J36" s="14" t="str">
        <x:v>付费居多</x:v>
      </x:c>
      <x:c r="K36" s="14" t="str">
        <x:v>需整理</x:v>
      </x:c>
      <x:c r="L36" s="14" t="str">
        <x:v>约领先肉禽料需求1个月</x:v>
      </x:c>
      <x:c r="M36" s="14"/>
    </x:row>
    <x:row r="37">
      <x:c r="A37" s="19" t="str">
        <x:v>下游需求</x:v>
      </x:c>
      <x:c r="B37" s="14" t="str">
        <x:v>豆粕添加比例</x:v>
      </x:c>
      <x:c r="C37" s="14" t="str">
        <x:v>月度假设</x:v>
      </x:c>
      <x:c r="D37" s="14" t="str">
        <x:v>不同饲料品种</x:v>
      </x:c>
      <x:c r="E37" s="14" t="str">
        <x:v>%</x:v>
      </x:c>
      <x:c r="F37" s="14" t="str">
        <x:v>假设</x:v>
      </x:c>
      <x:c r="G37" s="14" t="str">
        <x:v>P1</x:v>
      </x:c>
      <x:c r="H37" s="14" t="str">
        <x:v>配方调研/行业资料</x:v>
      </x:c>
      <x:c r="I37" s="14" t="str">
        <x:v>人工维护</x:v>
      </x:c>
      <x:c r="J37" s="14" t="str">
        <x:v>非公开</x:v>
      </x:c>
      <x:c r="K37" s="14" t="str">
        <x:v>需整理</x:v>
      </x:c>
      <x:c r="L37" s="14" t="str">
        <x:v>将畜禽存栏转成豆粕需求</x:v>
      </x:c>
      <x:c r="M37" s="14"/>
    </x:row>
    <x:row r="38">
      <x:c r="A38" s="19" t="str">
        <x:v>利润</x:v>
      </x:c>
      <x:c r="B38" s="14" t="str">
        <x:v>进口大豆盘面压榨利润</x:v>
      </x:c>
      <x:c r="C38" s="14" t="str">
        <x:v>日</x:v>
      </x:c>
      <x:c r="D38" s="14" t="str">
        <x:v>美湾/巴西/阿根廷来源</x:v>
      </x:c>
      <x:c r="E38" s="14" t="str">
        <x:v>元/吨</x:v>
      </x:c>
      <x:c r="F38" s="14" t="str">
        <x:v>派生</x:v>
      </x:c>
      <x:c r="G38" s="14" t="str">
        <x:v>P0</x:v>
      </x:c>
      <x:c r="H38" s="14" t="str">
        <x:v>海关/汇率/运费/DCE</x:v>
      </x:c>
      <x:c r="I38" s="14" t="str">
        <x:v>https://www.dce.com.cn/</x:v>
      </x:c>
      <x:c r="J38" s="14" t="str">
        <x:v>公式</x:v>
      </x:c>
      <x:c r="K38" s="14" t="str">
        <x:v>需整理</x:v>
      </x:c>
      <x:c r="L38" s="14" t="str">
        <x:v>混合</x:v>
      </x:c>
      <x:c r="M38" s="14" t="str">
        <x:v>到岸成本与豆油豆粕收入比较</x:v>
      </x:c>
    </x:row>
    <x:row r="39">
      <x:c r="A39" s="19" t="str">
        <x:v>利润</x:v>
      </x:c>
      <x:c r="B39" s="14" t="str">
        <x:v>油厂现货压榨利润</x:v>
      </x:c>
      <x:c r="C39" s="14" t="str">
        <x:v>日</x:v>
      </x:c>
      <x:c r="D39" s="14" t="str">
        <x:v>主要区域</x:v>
      </x:c>
      <x:c r="E39" s="14" t="str">
        <x:v>元/吨</x:v>
      </x:c>
      <x:c r="F39" s="14" t="str">
        <x:v>派生</x:v>
      </x:c>
      <x:c r="G39" s="14" t="str">
        <x:v>P0</x:v>
      </x:c>
      <x:c r="H39" s="14" t="str">
        <x:v>现货价+压榨参数</x:v>
      </x:c>
      <x:c r="I39" s="14" t="str">
        <x:v>待接入</x:v>
      </x:c>
      <x:c r="J39" s="14" t="str">
        <x:v>部分付费</x:v>
      </x:c>
      <x:c r="K39" s="14" t="str">
        <x:v>需整理</x:v>
      </x:c>
      <x:c r="L39" s="14" t="str">
        <x:v>判断油厂采购和开机</x:v>
      </x:c>
      <x:c r="M39" s="14"/>
    </x:row>
    <x:row r="40">
      <x:c r="A40" s="19" t="str">
        <x:v>利润</x:v>
      </x:c>
      <x:c r="B40" s="14" t="str">
        <x:v>生猪/白羽肉鸡/蛋鸡养殖利润</x:v>
      </x:c>
      <x:c r="C40" s="14" t="str">
        <x:v>周</x:v>
      </x:c>
      <x:c r="D40" s="14" t="str">
        <x:v>全国及区域</x:v>
      </x:c>
      <x:c r="E40" s="14" t="str">
        <x:v>元/头、元/羽</x:v>
      </x:c>
      <x:c r="F40" s="14" t="str">
        <x:v>原始/派生</x:v>
      </x:c>
      <x:c r="G40" s="14" t="str">
        <x:v>P1</x:v>
      </x:c>
      <x:c r="H40" s="14" t="str">
        <x:v>农业农村部/行业资讯</x:v>
      </x:c>
      <x:c r="I40" s="14" t="str">
        <x:v>https://www.moa.gov.cn/ztzl/szcpxx/jdsj/</x:v>
      </x:c>
      <x:c r="J40" s="14" t="str">
        <x:v>网页/公式</x:v>
      </x:c>
      <x:c r="K40" s="14" t="str">
        <x:v>可获取</x:v>
      </x:c>
      <x:c r="L40" s="14" t="str">
        <x:v>混合</x:v>
      </x:c>
      <x:c r="M40" s="14" t="str">
        <x:v>需求端采购意愿</x:v>
      </x:c>
    </x:row>
    <x:row r="41">
      <x:c r="A41" s="19" t="str">
        <x:v>价格</x:v>
      </x:c>
      <x:c r="B41" s="14" t="str">
        <x:v>CBOT大豆期货价格</x:v>
      </x:c>
      <x:c r="C41" s="14" t="str">
        <x:v>日内/日</x:v>
      </x:c>
      <x:c r="D41" s="14" t="str">
        <x:v>主力及各合约</x:v>
      </x:c>
      <x:c r="E41" s="14" t="str">
        <x:v>美分/蒲式耳</x:v>
      </x:c>
      <x:c r="F41" s="14" t="str">
        <x:v>原始</x:v>
      </x:c>
      <x:c r="G41" s="14" t="str">
        <x:v>P0</x:v>
      </x:c>
      <x:c r="H41" s="14" t="str">
        <x:v>CME/行情供应商</x:v>
      </x:c>
      <x:c r="I41" s="14" t="str">
        <x:v>https://www.cmegroup.com/markets/agriculture/oilseeds/soybean.html</x:v>
      </x:c>
      <x:c r="J41" s="14" t="str">
        <x:v>行情接口</x:v>
      </x:c>
      <x:c r="K41" s="14" t="str">
        <x:v>需整理</x:v>
      </x:c>
      <x:c r="L41" s="14" t="str">
        <x:v>授权约束</x:v>
      </x:c>
      <x:c r="M41" s="14" t="str">
        <x:v>全球成本锚</x:v>
      </x:c>
    </x:row>
    <x:row r="42">
      <x:c r="A42" s="19" t="str">
        <x:v>价格</x:v>
      </x:c>
      <x:c r="B42" s="14" t="str">
        <x:v>DCE豆粕期货价格、成交量、持仓量</x:v>
      </x:c>
      <x:c r="C42" s="14" t="str">
        <x:v>日内/日</x:v>
      </x:c>
      <x:c r="D42" s="14" t="str">
        <x:v>各合约</x:v>
      </x:c>
      <x:c r="E42" s="14" t="str">
        <x:v>元/吨、手</x:v>
      </x:c>
      <x:c r="F42" s="14" t="str">
        <x:v>原始</x:v>
      </x:c>
      <x:c r="G42" s="14" t="str">
        <x:v>P0</x:v>
      </x:c>
      <x:c r="H42" s="14" t="str">
        <x:v>大连商品交易所</x:v>
      </x:c>
      <x:c r="I42" s="14" t="str">
        <x:v>https://www.dce.com.cn/</x:v>
      </x:c>
      <x:c r="J42" s="14" t="str">
        <x:v>下载/行情接口</x:v>
      </x:c>
      <x:c r="K42" s="14" t="str">
        <x:v>可获取</x:v>
      </x:c>
      <x:c r="L42" s="14" t="str">
        <x:v>免费/授权</x:v>
      </x:c>
      <x:c r="M42" s="14" t="str">
        <x:v>国内定价核心</x:v>
      </x:c>
    </x:row>
    <x:row r="43">
      <x:c r="A43" s="19" t="str">
        <x:v>价格</x:v>
      </x:c>
      <x:c r="B43" s="14" t="str">
        <x:v>豆粕现货价格/基差/远月基差</x:v>
      </x:c>
      <x:c r="C43" s="14" t="str">
        <x:v>日</x:v>
      </x:c>
      <x:c r="D43" s="14" t="str">
        <x:v>主要港口和区域</x:v>
      </x:c>
      <x:c r="E43" s="14" t="str">
        <x:v>元/吨</x:v>
      </x:c>
      <x:c r="F43" s="14" t="str">
        <x:v>原始/派生</x:v>
      </x:c>
      <x:c r="G43" s="14" t="str">
        <x:v>P0</x:v>
      </x:c>
      <x:c r="H43" s="14" t="str">
        <x:v>现货报价+期货</x:v>
      </x:c>
      <x:c r="I43" s="14" t="str">
        <x:v>https://www.dce.com.cn/</x:v>
      </x:c>
      <x:c r="J43" s="14" t="str">
        <x:v>待接入/公式</x:v>
      </x:c>
      <x:c r="K43" s="14" t="str">
        <x:v>待接入</x:v>
      </x:c>
      <x:c r="L43" s="14" t="str">
        <x:v>付费居多</x:v>
      </x:c>
      <x:c r="M43" s="14" t="str">
        <x:v>基差=现货-对应期货</x:v>
      </x:c>
    </x:row>
    <x:row r="44">
      <x:c r="A44" s="19" t="str">
        <x:v>价格</x:v>
      </x:c>
      <x:c r="B44" s="14" t="str">
        <x:v>月间价差、油粕比、豆粕/玉米比价</x:v>
      </x:c>
      <x:c r="C44" s="14" t="str">
        <x:v>日</x:v>
      </x:c>
      <x:c r="D44" s="14" t="str">
        <x:v>合约组合</x:v>
      </x:c>
      <x:c r="E44" s="14" t="str">
        <x:v>元/吨、比值</x:v>
      </x:c>
      <x:c r="F44" s="14" t="str">
        <x:v>派生</x:v>
      </x:c>
      <x:c r="G44" s="14" t="str">
        <x:v>P0</x:v>
      </x:c>
      <x:c r="H44" s="14" t="str">
        <x:v>DCE行情</x:v>
      </x:c>
      <x:c r="I44" s="14" t="str">
        <x:v>https://www.dce.com.cn/</x:v>
      </x:c>
      <x:c r="J44" s="14" t="str">
        <x:v>公式</x:v>
      </x:c>
      <x:c r="K44" s="14" t="str">
        <x:v>需整理</x:v>
      </x:c>
      <x:c r="L44" s="14" t="str">
        <x:v>免费/授权</x:v>
      </x:c>
      <x:c r="M44" s="14" t="str">
        <x:v>期限结构与替代关系</x:v>
      </x:c>
    </x:row>
    <x:row r="45">
      <x:c r="A45" s="19" t="str">
        <x:v>资金</x:v>
      </x:c>
      <x:c r="B45" s="14" t="str">
        <x:v>CFTC大豆基金净持仓</x:v>
      </x:c>
      <x:c r="C45" s="14" t="str">
        <x:v>周</x:v>
      </x:c>
      <x:c r="D45" s="14" t="str">
        <x:v>CBOT大豆</x:v>
      </x:c>
      <x:c r="E45" s="14" t="str">
        <x:v>张</x:v>
      </x:c>
      <x:c r="F45" s="14" t="str">
        <x:v>原始</x:v>
      </x:c>
      <x:c r="G45" s="14" t="str">
        <x:v>P1</x:v>
      </x:c>
      <x:c r="H45" s="14" t="str">
        <x:v>CFTC COT</x:v>
      </x:c>
      <x:c r="I45" s="14" t="str">
        <x:v>https://www.cftc.gov/MarketReports/CommitmentsofTraders/index.htm</x:v>
      </x:c>
      <x:c r="J45" s="14" t="str">
        <x:v>CSV</x:v>
      </x:c>
      <x:c r="K45" s="14" t="str">
        <x:v>需整理</x:v>
      </x:c>
      <x:c r="L45" s="14" t="str">
        <x:v>免费</x:v>
      </x:c>
      <x:c r="M45" s="14" t="str">
        <x:v>资金拥挤度</x:v>
      </x:c>
    </x:row>
    <x:row r="46">
      <x:c r="A46" s="19" t="str">
        <x:v>市场结构</x:v>
      </x:c>
      <x:c r="B46" s="14" t="str">
        <x:v>DCE豆粕仓单、交割库存</x:v>
      </x:c>
      <x:c r="C46" s="14" t="str">
        <x:v>日</x:v>
      </x:c>
      <x:c r="D46" s="14" t="str">
        <x:v>交易所/交割库</x:v>
      </x:c>
      <x:c r="E46" s="14" t="str">
        <x:v>张/吨</x:v>
      </x:c>
      <x:c r="F46" s="14" t="str">
        <x:v>原始</x:v>
      </x:c>
      <x:c r="G46" s="14" t="str">
        <x:v>P1</x:v>
      </x:c>
      <x:c r="H46" s="14" t="str">
        <x:v>大连商品交易所</x:v>
      </x:c>
      <x:c r="I46" s="14" t="str">
        <x:v>https://www.dce.com.cn/</x:v>
      </x:c>
      <x:c r="J46" s="14" t="str">
        <x:v>网页/下载</x:v>
      </x:c>
      <x:c r="K46" s="14" t="str">
        <x:v>可获取</x:v>
      </x:c>
      <x:c r="L46" s="14" t="str">
        <x:v>免费</x:v>
      </x:c>
      <x:c r="M46" s="14" t="str">
        <x:v>临近交割月重要</x:v>
      </x:c>
    </x:row>
    <x:row r="47">
      <x:c r="A47" s="19" t="str">
        <x:v>季节性</x:v>
      </x:c>
      <x:c r="B47" s="14" t="str">
        <x:v>豆粕期价/现货/基差月度涨跌均值和上涨概率</x:v>
      </x:c>
      <x:c r="C47" s="14" t="str">
        <x:v>月度更新</x:v>
      </x:c>
      <x:c r="D47" s="14" t="str">
        <x:v>1—12月</x:v>
      </x:c>
      <x:c r="E47" s="14" t="str">
        <x:v>%、概率</x:v>
      </x:c>
      <x:c r="F47" s="14" t="str">
        <x:v>派生</x:v>
      </x:c>
      <x:c r="G47" s="14" t="str">
        <x:v>P1</x:v>
      </x:c>
      <x:c r="H47" s="14" t="str">
        <x:v>历史价格序列</x:v>
      </x:c>
      <x:c r="I47" s="14" t="str">
        <x:v>https://www.dce.com.cn/</x:v>
      </x:c>
      <x:c r="J47" s="14" t="str">
        <x:v>公式</x:v>
      </x:c>
      <x:c r="K47" s="14" t="str">
        <x:v>需整理</x:v>
      </x:c>
      <x:c r="L47" s="14" t="str">
        <x:v>取决于行情源</x:v>
      </x:c>
      <x:c r="M47" s="14" t="str">
        <x:v>对应截图中的季节性六图</x:v>
      </x:c>
    </x:row>
    <x:row r="48">
      <x:c r="A48" s="19" t="str">
        <x:v>模型</x:v>
      </x:c>
      <x:c r="B48" s="14" t="str">
        <x:v>中国豆粕月度供需平衡表</x:v>
      </x:c>
      <x:c r="C48" s="14" t="str">
        <x:v>月</x:v>
      </x:c>
      <x:c r="D48" s="14" t="str">
        <x:v>全国</x:v>
      </x:c>
      <x:c r="E48" s="14" t="str">
        <x:v>万吨</x:v>
      </x:c>
      <x:c r="F48" s="14" t="str">
        <x:v>派生</x:v>
      </x:c>
      <x:c r="G48" s="14" t="str">
        <x:v>P0</x:v>
      </x:c>
      <x:c r="H48" s="14" t="str">
        <x:v>进口+压榨+库存+饲料需求</x:v>
      </x:c>
      <x:c r="I48" s="14" t="str"/>
      <x:c r="J48" s="14" t="str">
        <x:v>公式</x:v>
      </x:c>
      <x:c r="K48" s="14" t="str">
        <x:v>需整理</x:v>
      </x:c>
      <x:c r="L48" s="14" t="str">
        <x:v>混合</x:v>
      </x:c>
      <x:c r="M48" s="14" t="str">
        <x:v>核心研究输出</x:v>
      </x:c>
    </x:row>
    <x:row r="49">
      <x:c r="A49" s="19" t="str">
        <x:v>模型</x:v>
      </x:c>
      <x:c r="B49" s="14" t="str">
        <x:v>豆粕需求预测</x:v>
      </x:c>
      <x:c r="C49" s="14" t="str">
        <x:v>月</x:v>
      </x:c>
      <x:c r="D49" s="14" t="str">
        <x:v>猪禽水产</x:v>
      </x:c>
      <x:c r="E49" s="14" t="str">
        <x:v>万吨</x:v>
      </x:c>
      <x:c r="F49" s="14" t="str">
        <x:v>派生</x:v>
      </x:c>
      <x:c r="G49" s="14" t="str">
        <x:v>P0</x:v>
      </x:c>
      <x:c r="H49" s="14" t="str">
        <x:v>存栏×饲料消耗×豆粕添加率</x:v>
      </x:c>
      <x:c r="I49" s="14" t="str"/>
      <x:c r="J49" s="14" t="str">
        <x:v>公式</x:v>
      </x:c>
      <x:c r="K49" s="14" t="str">
        <x:v>需整理</x:v>
      </x:c>
      <x:c r="L49" s="14" t="str">
        <x:v>混合</x:v>
      </x:c>
      <x:c r="M49" s="14" t="str">
        <x:v>前端与后端验证结合</x:v>
      </x:c>
    </x:row>
  </x:sheetData>
  <x:mergeCells>
    <x:mergeCell ref="A1:M2"/>
  </x:mergeCells>
  <x:conditionalFormatting sqref="G5:G49">
    <x:cfRule type="containsText" dxfId="0" priority="1" operator="containsText" text="P0"/>
  </x:conditionalFormatting>
  <x:conditionalFormatting sqref="K5:K49">
    <x:cfRule type="containsText" dxfId="1" priority="2" operator="containsText" text="待接入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36" hidden="0" customWidth="1"/>
    <x:col min="4" max="4" width="16" hidden="0" customWidth="1"/>
    <x:col min="5" max="5" width="16" hidden="0" customWidth="1"/>
  </x:cols>
  <x:sheetData>
    <x:row r="1" ht="30" customHeight="1">
      <x:c r="A1" s="3" t="str">
        <x:v>截图中的图表 → 实际需要采集的数据</x:v>
      </x:c>
      <x:c r="B1" s="3" t="str">
        <x:v>截图中的图表 → 实际需要采集的数据</x:v>
      </x:c>
      <x:c r="C1" s="3" t="str">
        <x:v>截图中的图表 → 实际需要采集的数据</x:v>
      </x:c>
      <x:c r="D1" s="3" t="str">
        <x:v>截图中的图表 → 实际需要采集的数据</x:v>
      </x:c>
      <x:c r="E1" s="3" t="str">
        <x:v>截图中的图表 → 实际需要采集的数据</x:v>
      </x:c>
    </x:row>
    <x:row r="2" ht="30" customHeight="1">
      <x:c r="A2" s="3" t="str">
        <x:v>截图中的图表 → 实际需要采集的数据</x:v>
      </x:c>
      <x:c r="B2" s="3" t="str">
        <x:v>截图中的图表 → 实际需要采集的数据</x:v>
      </x:c>
      <x:c r="C2" s="3" t="str">
        <x:v>截图中的图表 → 实际需要采集的数据</x:v>
      </x:c>
      <x:c r="D2" s="3" t="str">
        <x:v>截图中的图表 → 实际需要采集的数据</x:v>
      </x:c>
      <x:c r="E2" s="3" t="str">
        <x:v>截图中的图表 → 实际需要采集的数据</x:v>
      </x:c>
    </x:row>
    <x:row r="4" ht="32" customHeight="1">
      <x:c r="A4" s="9" t="str">
        <x:v>截图主题</x:v>
      </x:c>
      <x:c r="B4" s="9" t="str">
        <x:v>需要的数据</x:v>
      </x:c>
      <x:c r="C4" s="9" t="str">
        <x:v>首选来源</x:v>
      </x:c>
      <x:c r="D4" s="9" t="str">
        <x:v>频率</x:v>
      </x:c>
      <x:c r="E4" s="9" t="str">
        <x:v>优先级</x:v>
      </x:c>
    </x:row>
    <x:row r="5">
      <x:c r="A5" s="13" t="str">
        <x:v>全球油料分布</x:v>
      </x:c>
      <x:c r="B5" s="13" t="str">
        <x:v>油料品种×产量/出口/进口/压榨</x:v>
      </x:c>
      <x:c r="C5" s="13" t="str">
        <x:v>USDA PSD按品种聚合</x:v>
      </x:c>
      <x:c r="D5" s="13" t="str">
        <x:v>年度/营销年度</x:v>
      </x:c>
      <x:c r="E5" s="13" t="str">
        <x:v>P1</x:v>
      </x:c>
    </x:row>
    <x:row r="6">
      <x:c r="A6" s="14" t="str">
        <x:v>全球大豆分布</x:v>
      </x:c>
      <x:c r="B6" s="14" t="str">
        <x:v>国家×产量/出口/进口/消费</x:v>
      </x:c>
      <x:c r="C6" s="14" t="str">
        <x:v>USDA PSD</x:v>
      </x:c>
      <x:c r="D6" s="14" t="str">
        <x:v>年度/营销年度</x:v>
      </x:c>
      <x:c r="E6" s="14" t="str">
        <x:v>P0</x:v>
      </x:c>
    </x:row>
    <x:row r="7">
      <x:c r="A7" s="14" t="str">
        <x:v>全球大豆产区集中度</x:v>
      </x:c>
      <x:c r="B7" s="14" t="str">
        <x:v>国家和州省级产量、面积、单产、产区地图</x:v>
      </x:c>
      <x:c r="C7" s="14" t="str">
        <x:v>PSD + NASS + CONAB</x:v>
      </x:c>
      <x:c r="D7" s="14" t="str">
        <x:v>年度</x:v>
      </x:c>
      <x:c r="E7" s="14" t="str">
        <x:v>P1</x:v>
      </x:c>
    </x:row>
    <x:row r="8">
      <x:c r="A8" s="14" t="str">
        <x:v>产区时间互补</x:v>
      </x:c>
      <x:c r="B8" s="14" t="str">
        <x:v>各国种植、开花、灌浆、收获窗口及关注指标</x:v>
      </x:c>
      <x:c r="C8" s="14" t="str">
        <x:v>作物日历维表+Crop Progress</x:v>
      </x:c>
      <x:c r="D8" s="14" t="str">
        <x:v>年度/周</x:v>
      </x:c>
      <x:c r="E8" s="14" t="str">
        <x:v>P0</x:v>
      </x:c>
    </x:row>
    <x:row r="9">
      <x:c r="A9" s="14" t="str">
        <x:v>大豆产量与CBOT价格</x:v>
      </x:c>
      <x:c r="B9" s="14" t="str">
        <x:v>产量、库存消费比、CBOT年度价格</x:v>
      </x:c>
      <x:c r="C9" s="14" t="str">
        <x:v>PSD + CME行情</x:v>
      </x:c>
      <x:c r="D9" s="14" t="str">
        <x:v>年度</x:v>
      </x:c>
      <x:c r="E9" s="14" t="str">
        <x:v>P1</x:v>
      </x:c>
    </x:row>
    <x:row r="10">
      <x:c r="A10" s="14" t="str">
        <x:v>面积和单产决定产量</x:v>
      </x:c>
      <x:c r="B10" s="14" t="str">
        <x:v>面积、单产、优良率、天气</x:v>
      </x:c>
      <x:c r="C10" s="14" t="str">
        <x:v>NASS + CONAB + 天气</x:v>
      </x:c>
      <x:c r="D10" s="14" t="str">
        <x:v>周/月</x:v>
      </x:c>
      <x:c r="E10" s="14" t="str">
        <x:v>P0</x:v>
      </x:c>
    </x:row>
    <x:row r="11">
      <x:c r="A11" s="14" t="str">
        <x:v>需求细分：进口与养殖</x:v>
      </x:c>
      <x:c r="B11" s="14" t="str">
        <x:v>进口大豆、饲料结构、猪禽水产需求</x:v>
      </x:c>
      <x:c r="C11" s="14" t="str">
        <x:v>海关+饲料协会+统计局/农业农村部</x:v>
      </x:c>
      <x:c r="D11" s="14" t="str">
        <x:v>月/季</x:v>
      </x:c>
      <x:c r="E11" s="14" t="str">
        <x:v>P0</x:v>
      </x:c>
    </x:row>
    <x:row r="12">
      <x:c r="A12" s="14" t="str">
        <x:v>养殖存栏预测需求</x:v>
      </x:c>
      <x:c r="B12" s="14" t="str">
        <x:v>能繁母猪、蛋鸡苗/肉鸡苗补栏及滞后关系</x:v>
      </x:c>
      <x:c r="C12" s="14" t="str">
        <x:v>农业农村部+行业资讯</x:v>
      </x:c>
      <x:c r="D12" s="14" t="str">
        <x:v>月</x:v>
      </x:c>
      <x:c r="E12" s="14" t="str">
        <x:v>P1</x:v>
      </x:c>
    </x:row>
    <x:row r="13">
      <x:c r="A13" s="14" t="str">
        <x:v>蛋白粕库存</x:v>
      </x:c>
      <x:c r="B13" s="14" t="str">
        <x:v>港口大豆、油厂大豆、豆粕库存与提货</x:v>
      </x:c>
      <x:c r="C13" s="14" t="str">
        <x:v>行业资讯/港口/油厂样本</x:v>
      </x:c>
      <x:c r="D13" s="14" t="str">
        <x:v>周</x:v>
      </x:c>
      <x:c r="E13" s="14" t="str">
        <x:v>P0</x:v>
      </x:c>
    </x:row>
    <x:row r="14">
      <x:c r="A14" s="14" t="str">
        <x:v>美豆与油粕比价决定成本</x:v>
      </x:c>
      <x:c r="B14" s="14" t="str">
        <x:v>美豆到岸成本、豆油豆粕收入、保本价</x:v>
      </x:c>
      <x:c r="C14" s="14" t="str">
        <x:v>海关/汇率/运费/CME/DCE</x:v>
      </x:c>
      <x:c r="D14" s="14" t="str">
        <x:v>日</x:v>
      </x:c>
      <x:c r="E14" s="14" t="str">
        <x:v>P0</x:v>
      </x:c>
    </x:row>
    <x:row r="15">
      <x:c r="A15" s="14" t="str">
        <x:v>基差体现强弱与短期方向</x:v>
      </x:c>
      <x:c r="B15" s="14" t="str">
        <x:v>现货、期货、基差、库存、提货</x:v>
      </x:c>
      <x:c r="C15" s="14" t="str">
        <x:v>现货报价+DCE+库存样本</x:v>
      </x:c>
      <x:c r="D15" s="14" t="str">
        <x:v>日/周</x:v>
      </x:c>
      <x:c r="E15" s="14" t="str">
        <x:v>P0</x:v>
      </x:c>
    </x:row>
    <x:row r="16">
      <x:c r="A16" s="14" t="str">
        <x:v>基差涨跌季节性</x:v>
      </x:c>
      <x:c r="B16" s="14" t="str">
        <x:v>期货、现货、基差历史日序列</x:v>
      </x:c>
      <x:c r="C16" s="14" t="str">
        <x:v>行情库</x:v>
      </x:c>
      <x:c r="D16" s="14" t="str">
        <x:v>日→月统计</x:v>
      </x:c>
      <x:c r="E16" s="14" t="str">
        <x:v>P1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8" hidden="0" customWidth="1"/>
  </x:cols>
  <x:sheetData>
    <x:row r="1" ht="30" customHeight="1">
      <x:c r="A1" s="3" t="str">
        <x:v>数据源清单与可获取性</x:v>
      </x:c>
      <x:c r="B1" s="3" t="str">
        <x:v>数据源清单与可获取性</x:v>
      </x:c>
      <x:c r="C1" s="3" t="str">
        <x:v>数据源清单与可获取性</x:v>
      </x:c>
      <x:c r="D1" s="3" t="str">
        <x:v>数据源清单与可获取性</x:v>
      </x:c>
      <x:c r="E1" s="3" t="str">
        <x:v>数据源清单与可获取性</x:v>
      </x:c>
      <x:c r="F1" s="3" t="str">
        <x:v>数据源清单与可获取性</x:v>
      </x:c>
      <x:c r="G1" s="3" t="str">
        <x:v>数据源清单与可获取性</x:v>
      </x:c>
    </x:row>
    <x:row r="2" ht="30" customHeight="1">
      <x:c r="A2" s="3" t="str">
        <x:v>数据源清单与可获取性</x:v>
      </x:c>
      <x:c r="B2" s="3" t="str">
        <x:v>数据源清单与可获取性</x:v>
      </x:c>
      <x:c r="C2" s="3" t="str">
        <x:v>数据源清单与可获取性</x:v>
      </x:c>
      <x:c r="D2" s="3" t="str">
        <x:v>数据源清单与可获取性</x:v>
      </x:c>
      <x:c r="E2" s="3" t="str">
        <x:v>数据源清单与可获取性</x:v>
      </x:c>
      <x:c r="F2" s="3" t="str">
        <x:v>数据源清单与可获取性</x:v>
      </x:c>
      <x:c r="G2" s="3" t="str">
        <x:v>数据源清单与可获取性</x:v>
      </x:c>
    </x:row>
    <x:row r="4" ht="32" customHeight="1">
      <x:c r="A4" s="9" t="str">
        <x:v>数据源</x:v>
      </x:c>
      <x:c r="B4" s="9" t="str">
        <x:v>覆盖内容</x:v>
      </x:c>
      <x:c r="C4" s="9" t="str">
        <x:v>更新频率</x:v>
      </x:c>
      <x:c r="D4" s="9" t="str">
        <x:v>形式</x:v>
      </x:c>
      <x:c r="E4" s="9" t="str">
        <x:v>费用</x:v>
      </x:c>
      <x:c r="F4" s="9" t="str">
        <x:v>判断</x:v>
      </x:c>
      <x:c r="G4" s="9" t="str">
        <x:v>网址</x:v>
      </x:c>
    </x:row>
    <x:row r="5">
      <x:c r="A5" s="13" t="str">
        <x:v>USDA PSD</x:v>
      </x:c>
      <x:c r="B5" s="13" t="str">
        <x:v>全球油籽/豆粕供需平衡</x:v>
      </x:c>
      <x:c r="C5" s="13" t="str">
        <x:v>月度更新</x:v>
      </x:c>
      <x:c r="D5" s="13" t="str">
        <x:v>API</x:v>
      </x:c>
      <x:c r="E5" s="13" t="str">
        <x:v>免费</x:v>
      </x:c>
      <x:c r="F5" s="13" t="str">
        <x:v>可立即自动化</x:v>
      </x:c>
      <x:c r="G5" s="13" t="str">
        <x:v>https://apps.fas.usda.gov/PSDOnlineDataServices/swagger/ui/index</x:v>
      </x:c>
    </x:row>
    <x:row r="6">
      <x:c r="A6" s="14" t="str">
        <x:v>USDA WASDE</x:v>
      </x:c>
      <x:c r="B6" s="14" t="str">
        <x:v>全球供需预测与修订</x:v>
      </x:c>
      <x:c r="C6" s="14" t="str">
        <x:v>月</x:v>
      </x:c>
      <x:c r="D6" s="14" t="str">
        <x:v>PDF/表格</x:v>
      </x:c>
      <x:c r="E6" s="14" t="str">
        <x:v>免费</x:v>
      </x:c>
      <x:c r="F6" s="14" t="str">
        <x:v>可立即获取</x:v>
      </x:c>
      <x:c r="G6" s="14" t="str">
        <x:v>https://www.usda.gov/oce/commodity/wasde</x:v>
      </x:c>
    </x:row>
    <x:row r="7">
      <x:c r="A7" s="14" t="str">
        <x:v>USDA NASS</x:v>
      </x:c>
      <x:c r="B7" s="14" t="str">
        <x:v>美国面积、单产、产量、作物进度</x:v>
      </x:c>
      <x:c r="C7" s="14" t="str">
        <x:v>周/月/年</x:v>
      </x:c>
      <x:c r="D7" s="14" t="str">
        <x:v>API/下载</x:v>
      </x:c>
      <x:c r="E7" s="14" t="str">
        <x:v>免费</x:v>
      </x:c>
      <x:c r="F7" s="14" t="str">
        <x:v>部分需API Key</x:v>
      </x:c>
      <x:c r="G7" s="14" t="str">
        <x:v>https://quickstats.nass.usda.gov/</x:v>
      </x:c>
    </x:row>
    <x:row r="8">
      <x:c r="A8" s="14" t="str">
        <x:v>CONAB</x:v>
      </x:c>
      <x:c r="B8" s="14" t="str">
        <x:v>巴西面积、单产、产量和进度</x:v>
      </x:c>
      <x:c r="C8" s="14" t="str">
        <x:v>月/周</x:v>
      </x:c>
      <x:c r="D8" s="14" t="str">
        <x:v>Excel/PDF</x:v>
      </x:c>
      <x:c r="E8" s="14" t="str">
        <x:v>免费</x:v>
      </x:c>
      <x:c r="F8" s="14" t="str">
        <x:v>可半自动化</x:v>
      </x:c>
      <x:c r="G8" s="14" t="str">
        <x:v>https://www.conab.gov.br/info-agro/safras</x:v>
      </x:c>
    </x:row>
    <x:row r="9">
      <x:c r="A9" s="14" t="str">
        <x:v>阿根廷农业部</x:v>
      </x:c>
      <x:c r="B9" s="14" t="str">
        <x:v>阿根廷面积、产量与进度</x:v>
      </x:c>
      <x:c r="C9" s="14" t="str">
        <x:v>周/月</x:v>
      </x:c>
      <x:c r="D9" s="14" t="str">
        <x:v>网页/PDF</x:v>
      </x:c>
      <x:c r="E9" s="14" t="str">
        <x:v>免费</x:v>
      </x:c>
      <x:c r="F9" s="14" t="str">
        <x:v>可半自动化</x:v>
      </x:c>
      <x:c r="G9" s="14" t="str">
        <x:v>https://www.magyp.gob.ar/sitio/areas/estimaciones/</x:v>
      </x:c>
    </x:row>
    <x:row r="10">
      <x:c r="A10" s="14" t="str">
        <x:v>中国海关总署</x:v>
      </x:c>
      <x:c r="B10" s="14" t="str">
        <x:v>大豆进口总量、金额、来源国</x:v>
      </x:c>
      <x:c r="C10" s="14" t="str">
        <x:v>月</x:v>
      </x:c>
      <x:c r="D10" s="14" t="str">
        <x:v>网页/查询</x:v>
      </x:c>
      <x:c r="E10" s="14" t="str">
        <x:v>免费/受限</x:v>
      </x:c>
      <x:c r="F10" s="14" t="str">
        <x:v>总量容易；明细查询需处理</x:v>
      </x:c>
      <x:c r="G10" s="14" t="str">
        <x:v>https://english.customs.gov.cn/Statistics/Statistics</x:v>
      </x:c>
    </x:row>
    <x:row r="11">
      <x:c r="A11" s="14" t="str">
        <x:v>国家统计局</x:v>
      </x:c>
      <x:c r="B11" s="14" t="str">
        <x:v>生猪存栏、出栏及宏观农业数据</x:v>
      </x:c>
      <x:c r="C11" s="14" t="str">
        <x:v>月/季/年</x:v>
      </x:c>
      <x:c r="D11" s="14" t="str">
        <x:v>网页/国家数据</x:v>
      </x:c>
      <x:c r="E11" s="14" t="str">
        <x:v>免费</x:v>
      </x:c>
      <x:c r="F11" s="14" t="str">
        <x:v>可半自动化</x:v>
      </x:c>
      <x:c r="G11" s="14" t="str">
        <x:v>https://data.stats.gov.cn/</x:v>
      </x:c>
    </x:row>
    <x:row r="12">
      <x:c r="A12" s="14" t="str">
        <x:v>农业农村部</x:v>
      </x:c>
      <x:c r="B12" s="14" t="str">
        <x:v>能繁母猪、屠宰、养殖利润等</x:v>
      </x:c>
      <x:c r="C12" s="14" t="str">
        <x:v>月</x:v>
      </x:c>
      <x:c r="D12" s="14" t="str">
        <x:v>PDF/网页</x:v>
      </x:c>
      <x:c r="E12" s="14" t="str">
        <x:v>免费</x:v>
      </x:c>
      <x:c r="F12" s="14" t="str">
        <x:v>可半自动化</x:v>
      </x:c>
      <x:c r="G12" s="14" t="str">
        <x:v>https://www.moa.gov.cn/ztzl/szcpxx/jdsj/</x:v>
      </x:c>
    </x:row>
    <x:row r="13">
      <x:c r="A13" s="14" t="str">
        <x:v>大连商品交易所</x:v>
      </x:c>
      <x:c r="B13" s="14" t="str">
        <x:v>豆粕期货、仓单、交割信息</x:v>
      </x:c>
      <x:c r="C13" s="14" t="str">
        <x:v>日</x:v>
      </x:c>
      <x:c r="D13" s="14" t="str">
        <x:v>网页/下载</x:v>
      </x:c>
      <x:c r="E13" s="14" t="str">
        <x:v>免费/授权</x:v>
      </x:c>
      <x:c r="F13" s="14" t="str">
        <x:v>需确认历史下载接口</x:v>
      </x:c>
      <x:c r="G13" s="14" t="str">
        <x:v>https://www.dce.com.cn/</x:v>
      </x:c>
    </x:row>
    <x:row r="14">
      <x:c r="A14" s="14" t="str">
        <x:v>中国饲料工业协会</x:v>
      </x:c>
      <x:c r="B14" s="14" t="str">
        <x:v>饲料产量及品种结构</x:v>
      </x:c>
      <x:c r="C14" s="14" t="str">
        <x:v>月/年</x:v>
      </x:c>
      <x:c r="D14" s="14" t="str">
        <x:v>网页</x:v>
      </x:c>
      <x:c r="E14" s="14" t="str">
        <x:v>公开汇总</x:v>
      </x:c>
      <x:c r="F14" s="14" t="str">
        <x:v>需整理口径</x:v>
      </x:c>
      <x:c r="G14" s="14" t="str">
        <x:v>https://www.chinafeed.org.cn/</x:v>
      </x:c>
    </x:row>
    <x:row r="15">
      <x:c r="A15" s="14" t="str">
        <x:v>行业资讯供应商</x:v>
      </x:c>
      <x:c r="B15" s="14" t="str">
        <x:v>压榨、油厂库存、到港、基差</x:v>
      </x:c>
      <x:c r="C15" s="14" t="str">
        <x:v>日/周</x:v>
      </x:c>
      <x:c r="D15" s="14" t="str">
        <x:v>终端/API</x:v>
      </x:c>
      <x:c r="E15" s="14" t="str">
        <x:v>付费</x:v>
      </x:c>
      <x:c r="F15" s="14" t="str">
        <x:v>国内高频数据的主要缺口</x:v>
      </x:c>
      <x:c r="G15" s="14" t="str"/>
    </x:row>
  </x:sheetData>
  <x:mergeCells>
    <x:mergeCell ref="A1:G2"/>
  </x:mergeCells>
  <x:pageMargins left="0.7" right="0.7" top="0.75" bottom="0.75" header="0.3" footer="0.3"/>
</x:worksheet>
</file>