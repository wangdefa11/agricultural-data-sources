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8739a57dea47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球油料分布" sheetId="1" r:id="R291ef50442264a05"/>
    <x:sheet xmlns:r="http://schemas.openxmlformats.org/officeDocument/2006/relationships" name="全球大豆分布" sheetId="2" r:id="R26de49ef68c74adf"/>
    <x:sheet xmlns:r="http://schemas.openxmlformats.org/officeDocument/2006/relationships" name="数据说明" sheetId="3" r:id="R09f1ae834c7940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7F0000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77777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D71900"/>
      </x:patternFill>
    </x:fill>
    <x:fill>
      <x:patternFill patternType="solid">
        <x:fgColor rgb="FFFCE4D6"/>
      </x:patternFill>
    </x:fill>
    <x:fill>
      <x:patternFill patternType="solid">
        <x:fgColor rgb="FFE31800"/>
      </x:patternFill>
    </x:fill>
    <x:fill>
      <x:patternFill patternType="solid">
        <x:fgColor rgb="FFF2F2F2"/>
      </x:patternFill>
    </x:fill>
  </x:fills>
  <x:borders count="5">
    <x:border/>
    <x:border>
      <x:bottom style="double">
        <x:color rgb="FF7F0000"/>
      </x:bottom>
    </x:border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</x:border>
  </x:borders>
  <x:cellStyleXfs count="1">
    <x:xf numFmtId="0" fontId="0" fillId="0" borderId="0"/>
  </x:cellStyleXfs>
  <x:cellXfs count="32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201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201" fontId="4" fillId="5" borderId="0" xfId="0" applyNumberFormat="1" applyFont="1" applyFill="1" applyBorder="1"/>
    <x:xf numFmtId="0" fontId="4" fillId="5" borderId="1" xfId="0" applyNumberFormat="1" applyFont="1" applyFill="1" applyBorder="1"/>
    <x:xf numFmtId="200" fontId="4" fillId="5" borderId="1" xfId="0" applyNumberFormat="1" applyFont="1" applyFill="1" applyBorder="1"/>
    <x:xf numFmtId="201" fontId="4" fillId="5" borderId="1" xfId="0" applyNumberFormat="1" applyFont="1" applyFill="1" applyBorder="1"/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3" xfId="0" applyNumberFormat="1" applyFont="1" applyFill="1" applyBorder="1"/>
    <x:xf numFmtId="201" fontId="0" fillId="0" borderId="3" xfId="0" applyNumberFormat="1" applyFont="1" applyFill="1" applyBorder="1"/>
    <x:xf numFmtId="0" fontId="4" fillId="5" borderId="4" xfId="0" applyNumberFormat="1" applyFont="1" applyFill="1" applyBorder="1"/>
    <x:xf numFmtId="200" fontId="4" fillId="5" borderId="4" xfId="0" applyNumberFormat="1" applyFont="1" applyFill="1" applyBorder="1"/>
    <x:xf numFmtId="201" fontId="4" fillId="5" borderId="4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cead7ffc764078" /><Relationship Type="http://schemas.openxmlformats.org/officeDocument/2006/relationships/theme" Target="/xl/theme/theme1.xml" Id="R61dedc80dbf9476e" /><Relationship Type="http://schemas.openxmlformats.org/officeDocument/2006/relationships/sharedStrings" Target="/xl/sharedStrings.xml" Id="R61da1992851a4b79" /><Relationship Type="http://schemas.openxmlformats.org/officeDocument/2006/relationships/worksheet" Target="/xl/worksheets/sheet1.xml" Id="R291ef50442264a05" /><Relationship Type="http://schemas.openxmlformats.org/officeDocument/2006/relationships/worksheet" Target="/xl/worksheets/sheet2.xml" Id="R26de49ef68c74adf" /><Relationship Type="http://schemas.openxmlformats.org/officeDocument/2006/relationships/worksheet" Target="/xl/worksheets/sheet3.xml" Id="R09f1ae834c7940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8" customHeight="1">
      <x:c r="A1" s="4" t="str">
        <x:v>全球油料分布｜22/23年度截图转录数据</x:v>
      </x:c>
      <x:c r="B1" s="4"/>
      <x:c r="C1" s="4"/>
      <x:c r="D1" s="4"/>
      <x:c r="E1" s="4"/>
      <x:c r="F1" s="4"/>
      <x:c r="G1" s="4"/>
      <x:c r="H1" s="4"/>
      <x:c r="I1" s="4"/>
    </x:row>
    <x:row r="2" ht="36" customHeight="1">
      <x:c r="A2" s="7" t="str">
        <x:v>占比按截图原样转录；数量由截图总量×占比计算，因显示值保留一位小数，合计可能存在0.1个百分点误差。</x:v>
      </x:c>
      <x:c r="B2" s="7"/>
      <x:c r="C2" s="7"/>
      <x:c r="D2" s="7"/>
      <x:c r="E2" s="7"/>
      <x:c r="F2" s="7"/>
      <x:c r="G2" s="7"/>
      <x:c r="H2" s="7"/>
      <x:c r="I2" s="7"/>
    </x:row>
    <x:row r="4" ht="32" customHeight="1">
      <x:c r="A4" s="10" t="str">
        <x:v>分类</x:v>
      </x:c>
      <x:c r="B4" s="10" t="str">
        <x:v>产量占比</x:v>
      </x:c>
      <x:c r="C4" s="10" t="str">
        <x:v>产量量（百万吨）</x:v>
      </x:c>
      <x:c r="D4" s="10" t="str">
        <x:v>出口占比</x:v>
      </x:c>
      <x:c r="E4" s="10" t="str">
        <x:v>出口量（百万吨）</x:v>
      </x:c>
      <x:c r="F4" s="10" t="str">
        <x:v>进口占比</x:v>
      </x:c>
      <x:c r="G4" s="10" t="str">
        <x:v>进口量（百万吨）</x:v>
      </x:c>
      <x:c r="H4" s="10" t="str">
        <x:v>压榨占比</x:v>
      </x:c>
      <x:c r="I4" s="10" t="str">
        <x:v>压榨量（百万吨）</x:v>
      </x:c>
    </x:row>
    <x:row r="5">
      <x:c r="A5" s="20" t="str">
        <x:v>大豆</x:v>
      </x:c>
      <x:c r="B5" s="21" t="n">
        <x:v>0.605</x:v>
      </x:c>
      <x:c r="C5" s="22" t="n">
        <x:f>B5*645</x:f>
        <x:v>390.22499999999997</x:v>
      </x:c>
      <x:c r="D5" s="21" t="n">
        <x:v>0.856</x:v>
      </x:c>
      <x:c r="E5" s="22" t="n">
        <x:f>D5*197</x:f>
        <x:v>168.632</x:v>
      </x:c>
      <x:c r="F5" s="21" t="n">
        <x:v>0.861</x:v>
      </x:c>
      <x:c r="G5" s="22" t="n">
        <x:f>F5*193</x:f>
        <x:v>166.173</x:v>
      </x:c>
      <x:c r="H5" s="21" t="n">
        <x:v>0.616</x:v>
      </x:c>
      <x:c r="I5" s="22" t="n">
        <x:f>H5*534</x:f>
        <x:v>328.944</x:v>
      </x:c>
    </x:row>
    <x:row r="6">
      <x:c r="A6" s="23" t="str">
        <x:v>花生</x:v>
      </x:c>
      <x:c r="B6" s="24" t="n">
        <x:v>0.078</x:v>
      </x:c>
      <x:c r="C6" s="25" t="n">
        <x:f>B6*645</x:f>
        <x:v>50.31</x:v>
      </x:c>
      <x:c r="D6" s="24" t="n">
        <x:v>0.023</x:v>
      </x:c>
      <x:c r="E6" s="25" t="n">
        <x:f>D6*197</x:f>
        <x:v>4.531</x:v>
      </x:c>
      <x:c r="F6" s="24" t="n">
        <x:v>0.022000000000000002</x:v>
      </x:c>
      <x:c r="G6" s="25" t="n">
        <x:f>F6*193</x:f>
        <x:v>4.246</x:v>
      </x:c>
      <x:c r="H6" s="24" t="n">
        <x:v>0.037000000000000005</x:v>
      </x:c>
      <x:c r="I6" s="25" t="n">
        <x:f>H6*534</x:f>
        <x:v>19.758000000000003</x:v>
      </x:c>
    </x:row>
    <x:row r="7">
      <x:c r="A7" s="23" t="str">
        <x:v>棉籽</x:v>
      </x:c>
      <x:c r="B7" s="24" t="n">
        <x:v>0.066</x:v>
      </x:c>
      <x:c r="C7" s="25" t="n">
        <x:f>B7*645</x:f>
        <x:v>42.57</x:v>
      </x:c>
      <x:c r="D7" s="24" t="n">
        <x:v>0.005</x:v>
      </x:c>
      <x:c r="E7" s="25" t="n">
        <x:f>D7*197</x:f>
        <x:v>0.985</x:v>
      </x:c>
      <x:c r="F7" s="24" t="n">
        <x:v>0.005</x:v>
      </x:c>
      <x:c r="G7" s="25" t="n">
        <x:f>F7*193</x:f>
        <x:v>0.965</x:v>
      </x:c>
      <x:c r="H7" s="24" t="n">
        <x:v>0.063</x:v>
      </x:c>
      <x:c r="I7" s="25" t="n">
        <x:f>H7*534</x:f>
        <x:v>33.642</x:v>
      </x:c>
    </x:row>
    <x:row r="8">
      <x:c r="A8" s="23" t="str">
        <x:v>葵花籽</x:v>
      </x:c>
      <x:c r="B8" s="24" t="n">
        <x:v>0.079</x:v>
      </x:c>
      <x:c r="C8" s="25" t="n">
        <x:f>B8*645</x:f>
        <x:v>50.955</x:v>
      </x:c>
      <x:c r="D8" s="24" t="n">
        <x:v>0.017</x:v>
      </x:c>
      <x:c r="E8" s="25" t="n">
        <x:f>D8*197</x:f>
        <x:v>3.349</x:v>
      </x:c>
      <x:c r="F8" s="24" t="n">
        <x:v>0.025</x:v>
      </x:c>
      <x:c r="G8" s="25" t="n">
        <x:f>F8*193</x:f>
        <x:v>4.825</x:v>
      </x:c>
      <x:c r="H8" s="24" t="n">
        <x:v>0.09</x:v>
      </x:c>
      <x:c r="I8" s="25" t="n">
        <x:f>H8*534</x:f>
        <x:v>48.059999999999995</x:v>
      </x:c>
    </x:row>
    <x:row r="9">
      <x:c r="A9" s="23" t="str">
        <x:v>菜籽</x:v>
      </x:c>
      <x:c r="B9" s="24" t="n">
        <x:v>0.131</x:v>
      </x:c>
      <x:c r="C9" s="25" t="n">
        <x:f>B9*645</x:f>
        <x:v>84.495</x:v>
      </x:c>
      <x:c r="D9" s="24" t="n">
        <x:v>0.098</x:v>
      </x:c>
      <x:c r="E9" s="25" t="n">
        <x:f>D9*197</x:f>
        <x:v>19.306</x:v>
      </x:c>
      <x:c r="F9" s="24" t="n">
        <x:v>0.086</x:v>
      </x:c>
      <x:c r="G9" s="25" t="n">
        <x:f>F9*193</x:f>
        <x:v>16.598</x:v>
      </x:c>
      <x:c r="H9" s="24" t="n">
        <x:v>0.145</x:v>
      </x:c>
      <x:c r="I9" s="25" t="n">
        <x:f>H9*534</x:f>
        <x:v>77.42999999999999</x:v>
      </x:c>
    </x:row>
    <x:row r="10">
      <x:c r="A10" s="23" t="str">
        <x:v>椰肉干</x:v>
      </x:c>
      <x:c r="B10" s="24" t="n">
        <x:v>0.009000000000000001</x:v>
      </x:c>
      <x:c r="C10" s="25" t="n">
        <x:f>B10*645</x:f>
        <x:v>5.805000000000001</x:v>
      </x:c>
      <x:c r="D10" s="24" t="n">
        <x:v>0.001</x:v>
      </x:c>
      <x:c r="E10" s="25" t="n">
        <x:f>D10*197</x:f>
        <x:v>0.197</x:v>
      </x:c>
      <x:c r="F10" s="24" t="n">
        <x:v>0</x:v>
      </x:c>
      <x:c r="G10" s="25" t="n">
        <x:f>F10*193</x:f>
        <x:v>0</x:v>
      </x:c>
      <x:c r="H10" s="24" t="n">
        <x:v>0.011000000000000001</x:v>
      </x:c>
      <x:c r="I10" s="25" t="n">
        <x:f>H10*534</x:f>
        <x:v>5.8740000000000006</x:v>
      </x:c>
    </x:row>
    <x:row r="11">
      <x:c r="A11" s="23" t="str">
        <x:v>棕榈仁</x:v>
      </x:c>
      <x:c r="B11" s="24" t="n">
        <x:v>0.032</x:v>
      </x:c>
      <x:c r="C11" s="25" t="n">
        <x:f>B11*645</x:f>
        <x:v>20.64</x:v>
      </x:c>
      <x:c r="D11" s="24" t="n">
        <x:v>0</x:v>
      </x:c>
      <x:c r="E11" s="25" t="n">
        <x:f>D11*197</x:f>
        <x:v>0</x:v>
      </x:c>
      <x:c r="F11" s="24" t="n">
        <x:v>0.001</x:v>
      </x:c>
      <x:c r="G11" s="25" t="n">
        <x:f>F11*193</x:f>
        <x:v>0.193</x:v>
      </x:c>
      <x:c r="H11" s="24" t="n">
        <x:v>0.038</x:v>
      </x:c>
      <x:c r="I11" s="25" t="n">
        <x:f>H11*534</x:f>
        <x:v>20.291999999999998</x:v>
      </x:c>
    </x:row>
    <x:row r="12">
      <x:c r="A12" s="26" t="str">
        <x:v>合计</x:v>
      </x:c>
      <x:c r="B12" s="27" t="n">
        <x:f>SUM(B5:B11)</x:f>
        <x:v>0.9999999999999999</x:v>
      </x:c>
      <x:c r="C12" s="28" t="n">
        <x:f>SUM(C5:C11)</x:f>
        <x:v>644.9999999999999</x:v>
      </x:c>
      <x:c r="D12" s="27" t="n">
        <x:f>SUM(D5:D11)</x:f>
        <x:v>1</x:v>
      </x:c>
      <x:c r="E12" s="28" t="n">
        <x:f>SUM(E5:E11)</x:f>
        <x:v>197.00000000000003</x:v>
      </x:c>
      <x:c r="F12" s="27" t="n">
        <x:f>SUM(F5:F11)</x:f>
        <x:v>1</x:v>
      </x:c>
      <x:c r="G12" s="28" t="n">
        <x:f>SUM(G5:G11)</x:f>
        <x:v>193.00000000000003</x:v>
      </x:c>
      <x:c r="H12" s="27" t="n">
        <x:f>SUM(H5:H11)</x:f>
        <x:v>1</x:v>
      </x:c>
      <x:c r="I12" s="28" t="n">
        <x:f>SUM(I5:I11)</x:f>
        <x:v>534</x:v>
      </x:c>
    </x:row>
    <x:row r="15">
      <x:c r="A15" s="30" t="str">
        <x:v>原始截图：codex-clipboard-e07d29cc-d6b9-4912-ad5a-387c121681b7.png</x:v>
      </x:c>
      <x:c r="B15" s="30"/>
      <x:c r="C15" s="30"/>
      <x:c r="D15" s="30"/>
      <x:c r="E15" s="30"/>
      <x:c r="F15" s="30"/>
      <x:c r="G15" s="30"/>
      <x:c r="H15" s="30"/>
      <x:c r="I15" s="30"/>
    </x:row>
  </x:sheetData>
  <x:mergeCells>
    <x:mergeCell ref="A1:I1"/>
    <x:mergeCell ref="A2:I2"/>
    <x:mergeCell ref="A15:I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8" customHeight="1">
      <x:c r="A1" s="4" t="str">
        <x:v>全球大豆分布｜22/23年度截图转录数据</x:v>
      </x:c>
      <x:c r="B1" s="4"/>
      <x:c r="C1" s="4"/>
      <x:c r="D1" s="4"/>
      <x:c r="E1" s="4"/>
      <x:c r="F1" s="4"/>
      <x:c r="G1" s="4"/>
      <x:c r="H1" s="4"/>
      <x:c r="I1" s="4"/>
    </x:row>
    <x:row r="2" ht="36" customHeight="1">
      <x:c r="A2" s="7" t="str">
        <x:v>占比按截图原样转录；数量由截图总量×占比计算，因显示值保留一位小数，合计可能存在0.1个百分点误差。</x:v>
      </x:c>
      <x:c r="B2" s="7"/>
      <x:c r="C2" s="7"/>
      <x:c r="D2" s="7"/>
      <x:c r="E2" s="7"/>
      <x:c r="F2" s="7"/>
      <x:c r="G2" s="7"/>
      <x:c r="H2" s="7"/>
      <x:c r="I2" s="7"/>
    </x:row>
    <x:row r="4" ht="32" customHeight="1">
      <x:c r="A4" s="10" t="str">
        <x:v>分类</x:v>
      </x:c>
      <x:c r="B4" s="10" t="str">
        <x:v>产量占比</x:v>
      </x:c>
      <x:c r="C4" s="10" t="str">
        <x:v>产量量（百万吨）</x:v>
      </x:c>
      <x:c r="D4" s="10" t="str">
        <x:v>出口占比</x:v>
      </x:c>
      <x:c r="E4" s="10" t="str">
        <x:v>出口量（百万吨）</x:v>
      </x:c>
      <x:c r="F4" s="10" t="str">
        <x:v>进口占比</x:v>
      </x:c>
      <x:c r="G4" s="10" t="str">
        <x:v>进口量（百万吨）</x:v>
      </x:c>
      <x:c r="H4" s="10" t="str">
        <x:v>消费占比</x:v>
      </x:c>
      <x:c r="I4" s="10" t="str">
        <x:v>消费量（百万吨）</x:v>
      </x:c>
    </x:row>
    <x:row r="5">
      <x:c r="A5" s="20" t="str">
        <x:v>美国</x:v>
      </x:c>
      <x:c r="B5" s="21" t="n">
        <x:v>0.303</x:v>
      </x:c>
      <x:c r="C5" s="22" t="n">
        <x:f>B5*391</x:f>
        <x:v>118.473</x:v>
      </x:c>
      <x:c r="D5" s="21" t="n">
        <x:v>0.32899999999999996</x:v>
      </x:c>
      <x:c r="E5" s="22" t="n">
        <x:f>D5*169</x:f>
        <x:v>55.60099999999999</x:v>
      </x:c>
      <x:c r="F5" s="21" t="n">
        <x:v>0.002</x:v>
      </x:c>
      <x:c r="G5" s="22" t="n">
        <x:f>F5*166</x:f>
        <x:v>0.332</x:v>
      </x:c>
      <x:c r="H5" s="21" t="n">
        <x:v>0.17</x:v>
      </x:c>
      <x:c r="I5" s="22" t="n">
        <x:f>H5*380</x:f>
        <x:v>64.60000000000001</x:v>
      </x:c>
    </x:row>
    <x:row r="6">
      <x:c r="A6" s="23" t="str">
        <x:v>中国</x:v>
      </x:c>
      <x:c r="B6" s="24" t="n">
        <x:v>0.047</x:v>
      </x:c>
      <x:c r="C6" s="25" t="n">
        <x:f>B6*391</x:f>
        <x:v>18.377</x:v>
      </x:c>
      <x:c r="D6" s="24" t="n">
        <x:v>0.001</x:v>
      </x:c>
      <x:c r="E6" s="25" t="n">
        <x:f>D6*169</x:f>
        <x:v>0.169</x:v>
      </x:c>
      <x:c r="F6" s="24" t="n">
        <x:v>0.589</x:v>
      </x:c>
      <x:c r="G6" s="25" t="n">
        <x:f>F6*166</x:f>
        <x:v>97.774</x:v>
      </x:c>
      <x:c r="H6" s="24" t="n">
        <x:v>0.307</x:v>
      </x:c>
      <x:c r="I6" s="25" t="n">
        <x:f>H6*380</x:f>
        <x:v>116.66</x:v>
      </x:c>
    </x:row>
    <x:row r="7">
      <x:c r="A7" s="23" t="str">
        <x:v>巴西</x:v>
      </x:c>
      <x:c r="B7" s="24" t="n">
        <x:v>0.389</x:v>
      </x:c>
      <x:c r="C7" s="25" t="n">
        <x:f>B7*391</x:f>
        <x:v>152.09900000000002</x:v>
      </x:c>
      <x:c r="D7" s="24" t="n">
        <x:v>0.529</x:v>
      </x:c>
      <x:c r="E7" s="25" t="n">
        <x:f>D7*169</x:f>
        <x:v>89.40100000000001</x:v>
      </x:c>
      <x:c r="F7" s="24" t="n">
        <x:v>0.005</x:v>
      </x:c>
      <x:c r="G7" s="25" t="n">
        <x:f>F7*166</x:f>
        <x:v>0.8300000000000001</x:v>
      </x:c>
      <x:c r="H7" s="24" t="n">
        <x:v>0.146</x:v>
      </x:c>
      <x:c r="I7" s="25" t="n">
        <x:f>H7*380</x:f>
        <x:v>55.48</x:v>
      </x:c>
    </x:row>
    <x:row r="8">
      <x:c r="A8" s="23" t="str">
        <x:v>阿根廷</x:v>
      </x:c>
      <x:c r="B8" s="24" t="n">
        <x:v>0.127</x:v>
      </x:c>
      <x:c r="C8" s="25" t="n">
        <x:f>B8*391</x:f>
        <x:v>49.657000000000004</x:v>
      </x:c>
      <x:c r="D8" s="24" t="n">
        <x:v>0.043</x:v>
      </x:c>
      <x:c r="E8" s="25" t="n">
        <x:f>D8*169</x:f>
        <x:v>7.2669999999999995</x:v>
      </x:c>
      <x:c r="F8" s="24" t="n">
        <x:v>0.028999999999999998</x:v>
      </x:c>
      <x:c r="G8" s="25" t="n">
        <x:f>F8*166</x:f>
        <x:v>4.814</x:v>
      </x:c>
      <x:c r="H8" s="24" t="n">
        <x:v>0.124</x:v>
      </x:c>
      <x:c r="I8" s="25" t="n">
        <x:f>H8*380</x:f>
        <x:v>47.12</x:v>
      </x:c>
    </x:row>
    <x:row r="9">
      <x:c r="A9" s="23" t="str">
        <x:v>墨西哥</x:v>
      </x:c>
      <x:c r="B9" s="24" t="n">
        <x:v>0.001</x:v>
      </x:c>
      <x:c r="C9" s="25" t="n">
        <x:f>B9*391</x:f>
        <x:v>0.391</x:v>
      </x:c>
      <x:c r="D9" s="24" t="n">
        <x:v>0</x:v>
      </x:c>
      <x:c r="E9" s="25" t="n">
        <x:f>D9*169</x:f>
        <x:v>0</x:v>
      </x:c>
      <x:c r="F9" s="24" t="n">
        <x:v>0.038</x:v>
      </x:c>
      <x:c r="G9" s="25" t="n">
        <x:f>F9*166</x:f>
        <x:v>6.308</x:v>
      </x:c>
      <x:c r="H9" s="24" t="n">
        <x:v>0.017</x:v>
      </x:c>
      <x:c r="I9" s="25" t="n">
        <x:f>H9*380</x:f>
        <x:v>6.460000000000001</x:v>
      </x:c>
    </x:row>
    <x:row r="10">
      <x:c r="A10" s="23" t="str">
        <x:v>欧盟27国</x:v>
      </x:c>
      <x:c r="B10" s="24" t="n">
        <x:v>0.006</x:v>
      </x:c>
      <x:c r="C10" s="25" t="n">
        <x:f>B10*391</x:f>
        <x:v>2.346</x:v>
      </x:c>
      <x:c r="D10" s="24" t="n">
        <x:v>0.001</x:v>
      </x:c>
      <x:c r="E10" s="25" t="n">
        <x:f>D10*169</x:f>
        <x:v>0.169</x:v>
      </x:c>
      <x:c r="F10" s="24" t="n">
        <x:v>0.08900000000000001</x:v>
      </x:c>
      <x:c r="G10" s="25" t="n">
        <x:f>F10*166</x:f>
        <x:v>14.774000000000001</x:v>
      </x:c>
      <x:c r="H10" s="24" t="n">
        <x:v>0.044000000000000004</x:v>
      </x:c>
      <x:c r="I10" s="25" t="n">
        <x:f>H10*380</x:f>
        <x:v>16.720000000000002</x:v>
      </x:c>
    </x:row>
    <x:row r="11">
      <x:c r="A11" s="23" t="str">
        <x:v>巴拉圭</x:v>
      </x:c>
      <x:c r="B11" s="24" t="n">
        <x:v>0.026000000000000002</x:v>
      </x:c>
      <x:c r="C11" s="25" t="n">
        <x:f>B11*391</x:f>
        <x:v>10.166</x:v>
      </x:c>
      <x:c r="D11" s="24" t="n">
        <x:v>0.034</x:v>
      </x:c>
      <x:c r="E11" s="25" t="n">
        <x:f>D11*169</x:f>
        <x:v>5.746</x:v>
      </x:c>
      <x:c r="F11" s="24" t="n">
        <x:v>0</x:v>
      </x:c>
      <x:c r="G11" s="25" t="n">
        <x:f>F11*166</x:f>
        <x:v>0</x:v>
      </x:c>
      <x:c r="H11" s="24" t="n">
        <x:v>0.01</x:v>
      </x:c>
      <x:c r="I11" s="25" t="n">
        <x:f>H11*380</x:f>
        <x:v>3.8000000000000003</x:v>
      </x:c>
    </x:row>
    <x:row r="12">
      <x:c r="A12" s="23" t="str">
        <x:v>其他</x:v>
      </x:c>
      <x:c r="B12" s="24" t="n">
        <x:v>0.102</x:v>
      </x:c>
      <x:c r="C12" s="25" t="n">
        <x:f>B12*391</x:f>
        <x:v>39.882</x:v>
      </x:c>
      <x:c r="D12" s="24" t="n">
        <x:v>0.063</x:v>
      </x:c>
      <x:c r="E12" s="25" t="n">
        <x:f>D12*169</x:f>
        <x:v>10.647</x:v>
      </x:c>
      <x:c r="F12" s="24" t="n">
        <x:v>0.247</x:v>
      </x:c>
      <x:c r="G12" s="25" t="n">
        <x:f>F12*166</x:f>
        <x:v>41.002</x:v>
      </x:c>
      <x:c r="H12" s="24" t="n">
        <x:v>0.183</x:v>
      </x:c>
      <x:c r="I12" s="25" t="n">
        <x:f>H12*380</x:f>
        <x:v>69.53999999999999</x:v>
      </x:c>
    </x:row>
    <x:row r="13">
      <x:c r="A13" s="26" t="str">
        <x:v>合计</x:v>
      </x:c>
      <x:c r="B13" s="27" t="n">
        <x:f>SUM(B5:B12)</x:f>
        <x:v>1.0010000000000001</x:v>
      </x:c>
      <x:c r="C13" s="28" t="n">
        <x:f>SUM(C5:C12)</x:f>
        <x:v>391.391</x:v>
      </x:c>
      <x:c r="D13" s="27" t="n">
        <x:f>SUM(D5:D12)</x:f>
        <x:v>1</x:v>
      </x:c>
      <x:c r="E13" s="28" t="n">
        <x:f>SUM(E5:E12)</x:f>
        <x:v>169</x:v>
      </x:c>
      <x:c r="F13" s="27" t="n">
        <x:f>SUM(F5:F12)</x:f>
        <x:v>0.999</x:v>
      </x:c>
      <x:c r="G13" s="28" t="n">
        <x:f>SUM(G5:G12)</x:f>
        <x:v>165.834</x:v>
      </x:c>
      <x:c r="H13" s="27" t="n">
        <x:f>SUM(H5:H12)</x:f>
        <x:v>1.0010000000000001</x:v>
      </x:c>
      <x:c r="I13" s="28" t="n">
        <x:f>SUM(I5:I12)</x:f>
        <x:v>380.38</x:v>
      </x:c>
    </x:row>
    <x:row r="16">
      <x:c r="A16" s="30" t="str">
        <x:v>原始截图：codex-clipboard-3858b1a1-01ec-44d7-b2e7-73e95a617ad3.png</x:v>
      </x:c>
      <x:c r="B16" s="30"/>
      <x:c r="C16" s="30"/>
      <x:c r="D16" s="30"/>
      <x:c r="E16" s="30"/>
      <x:c r="F16" s="30"/>
      <x:c r="G16" s="30"/>
      <x:c r="H16" s="30"/>
      <x:c r="I16" s="30"/>
    </x:row>
  </x:sheetData>
  <x:mergeCells>
    <x:mergeCell ref="A1:I1"/>
    <x:mergeCell ref="A2:I2"/>
    <x:mergeCell ref="A16:I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8" hidden="0" customWidth="1"/>
    <x:col min="3" max="3" width="42" hidden="0" customWidth="1"/>
  </x:cols>
  <x:sheetData>
    <x:row r="1" ht="28" customHeight="1">
      <x:c r="A1" s="4" t="str">
        <x:v>数据说明</x:v>
      </x:c>
      <x:c r="B1" s="4"/>
      <x:c r="C1" s="4"/>
    </x:row>
    <x:row r="3">
      <x:c r="A3" s="9" t="str">
        <x:v>项目</x:v>
      </x:c>
      <x:c r="B3" s="9" t="str">
        <x:v>说明</x:v>
      </x:c>
      <x:c r="C3" s="9" t="str">
        <x:v>处理方式</x:v>
      </x:c>
    </x:row>
    <x:row r="4">
      <x:c r="A4" s="31" t="str">
        <x:v>数据性质</x:v>
      </x:c>
      <x:c r="B4" s="31" t="str">
        <x:v>用户截图中的22/23年度展示值</x:v>
      </x:c>
      <x:c r="C4" s="31" t="str">
        <x:v>按图转录，不替换为后续修订值</x:v>
      </x:c>
    </x:row>
    <x:row r="5">
      <x:c r="A5" s="31" t="str">
        <x:v>百分比</x:v>
      </x:c>
      <x:c r="B5" s="31" t="str">
        <x:v>截图保留一位小数</x:v>
      </x:c>
      <x:c r="C5" s="31" t="str">
        <x:v>Excel以数值百分比保存</x:v>
      </x:c>
    </x:row>
    <x:row r="6">
      <x:c r="A6" s="31" t="str">
        <x:v>数量</x:v>
      </x:c>
      <x:c r="B6" s="31" t="str">
        <x:v>截图给出各指标总量</x:v>
      </x:c>
      <x:c r="C6" s="31" t="str">
        <x:v>分类数量用总量×占比公式计算</x:v>
      </x:c>
    </x:row>
    <x:row r="7">
      <x:c r="A7" s="31" t="str">
        <x:v>合计误差</x:v>
      </x:c>
      <x:c r="B7" s="31" t="str">
        <x:v>部分列合计为99.9%或100.1%</x:v>
      </x:c>
      <x:c r="C7" s="31" t="str">
        <x:v>视为显示舍入误差，不强行调平</x:v>
      </x:c>
    </x:row>
    <x:row r="8">
      <x:c r="A8" s="31" t="str">
        <x:v>图片格式</x:v>
      </x:c>
      <x:c r="B8" s="31" t="str">
        <x:v>白底、红色规则线、红色分区标题、四个3D饼图</x:v>
      </x:c>
      <x:c r="C8" s="31" t="str">
        <x:v>PPTX中保持可编辑原生图表</x:v>
      </x:c>
    </x:row>
    <x:row r="9">
      <x:c r="A9" s="31" t="str">
        <x:v>资料来源</x:v>
      </x:c>
      <x:c r="B9" s="31" t="str">
        <x:v>截图页脚列示Wind、Bloomberg、USDA等</x:v>
      </x:c>
      <x:c r="C9" s="31" t="str">
        <x:v>精确单项来源无法仅凭截图拆分</x:v>
      </x:c>
    </x:row>
  </x:sheetData>
  <x:mergeCells>
    <x:mergeCell ref="A1:C1"/>
  </x:mergeCells>
  <x:pageMargins left="0.7" right="0.7" top="0.75" bottom="0.75" header="0.3" footer="0.3"/>
</x:worksheet>
</file>