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41c92da3cd46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实施总览" sheetId="1" r:id="R17aab777a2b54fd6"/>
    <x:sheet xmlns:r="http://schemas.openxmlformats.org/officeDocument/2006/relationships" name="指标数据目录" sheetId="2" r:id="R9fbbb37698d447f7"/>
    <x:sheet xmlns:r="http://schemas.openxmlformats.org/officeDocument/2006/relationships" name="油料分布重算" sheetId="3" r:id="R44732751beb8457c"/>
    <x:sheet xmlns:r="http://schemas.openxmlformats.org/officeDocument/2006/relationships" name="已有数据资产" sheetId="4" r:id="Re22ea216c6aa41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00"/>
    <x:numFmt numFmtId="202" formatCode="0.0%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7365D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7"/>
      <x:color rgb="FFFFFFFF"/>
      <x:name val="Carlito"/>
    </x:font>
    <x:font>
      <x:b/>
      <x:sz val="11"/>
      <x:color rgb="FF17365D"/>
      <x:name val="Carlito"/>
    </x:font>
    <x:font>
      <x:b/>
      <x:sz val="14"/>
      <x:color rgb="FF17365D"/>
      <x:name val="Carlito"/>
    </x:font>
    <x:font>
      <x:sz val="11"/>
      <x:color rgb="FF666666"/>
      <x:name val="Carlito"/>
    </x:font>
    <x:font>
      <x:i/>
      <x:sz val="11"/>
      <x:color rgb="FF666666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CE6F1"/>
      </x:patternFill>
    </x:fill>
    <x:fill>
      <x:patternFill patternType="solid">
        <x:fgColor rgb="FFC00000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F2F2F2"/>
      </x:patternFill>
    </x:fill>
    <x:fill>
      <x:patternFill patternType="solid">
        <x:fgColor rgb="FFFFFFFF"/>
      </x:patternFill>
    </x:fill>
    <x:fill>
      <x:patternFill patternType="solid">
        <x:fgColor rgb="FFF7F9FC"/>
      </x:patternFill>
    </x:fill>
  </x:fills>
  <x:borders count="11">
    <x:border/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</x:border>
    <x:border>
      <x:right style="thin">
        <x:color rgb="FFD9E2F3"/>
      </x:right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bottom style="thin">
        <x:color rgb="FFD9E2F3"/>
      </x:bottom>
    </x:border>
    <x:border>
      <x:bottom style="double">
        <x:color rgb="FF17365D"/>
      </x:bottom>
    </x:border>
  </x:borders>
  <x:cellStyleXfs count="1">
    <x:xf numFmtId="0" fontId="0" fillId="0" borderId="0"/>
  </x:cellStyleXfs>
  <x:cellXfs count="6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4" fillId="0" borderId="1" xfId="0" applyNumberFormat="1" applyFont="1" applyFill="1" applyBorder="1" applyAlignment="1">
      <x:alignment vertical="top"/>
    </x:xf>
    <x:xf numFmtId="0" fontId="4" fillId="0" borderId="2" xfId="0" applyNumberFormat="1" applyFont="1" applyFill="1" applyBorder="1" applyAlignment="1">
      <x:alignment vertical="top"/>
    </x:xf>
    <x:xf numFmtId="0" fontId="4" fillId="0" borderId="3" xfId="0" applyNumberFormat="1" applyFont="1" applyFill="1" applyBorder="1" applyAlignment="1">
      <x:alignment vertical="top"/>
    </x:xf>
    <x:xf numFmtId="0" fontId="4" fillId="0" borderId="1" xfId="0" applyNumberFormat="1" applyFont="1" applyFill="1" applyBorder="1" applyAlignment="1">
      <x:alignment horizontal="center" vertical="top"/>
    </x:xf>
    <x:xf numFmtId="0" fontId="4" fillId="0" borderId="2" xfId="0" applyNumberFormat="1" applyFont="1" applyFill="1" applyBorder="1" applyAlignment="1">
      <x:alignment horizontal="center" vertical="top"/>
    </x:xf>
    <x:xf numFmtId="0" fontId="4" fillId="0" borderId="3" xfId="0" applyNumberFormat="1" applyFont="1" applyFill="1" applyBorder="1" applyAlignment="1">
      <x:alignment horizontal="center" vertical="top"/>
    </x:xf>
    <x:xf numFmtId="0" fontId="0" fillId="0" borderId="1" xfId="0" applyNumberFormat="1" applyFont="1" applyFill="1" applyBorder="1" applyAlignment="1">
      <x:alignment horizontal="center" vertical="top"/>
    </x:xf>
    <x:xf numFmtId="0" fontId="0" fillId="0" borderId="2" xfId="0" applyNumberFormat="1" applyFont="1" applyFill="1" applyBorder="1" applyAlignment="1">
      <x:alignment horizontal="center" vertical="top"/>
    </x:xf>
    <x:xf numFmtId="0" fontId="0" fillId="0" borderId="3" xfId="0" applyNumberFormat="1" applyFont="1" applyFill="1" applyBorder="1" applyAlignment="1">
      <x:alignment horizontal="center"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horizontal="center" vertical="top"/>
    </x:xf>
    <x:xf numFmtId="0" fontId="4" fillId="5" borderId="2" xfId="0" applyNumberFormat="1" applyFont="1" applyFill="1" applyBorder="1" applyAlignment="1">
      <x:alignment horizontal="center" vertical="top"/>
    </x:xf>
    <x:xf numFmtId="0" fontId="4" fillId="3" borderId="2" xfId="0" applyNumberFormat="1" applyFont="1" applyFill="1" applyBorder="1" applyAlignment="1">
      <x:alignment horizontal="center" vertical="top"/>
    </x:xf>
    <x:xf numFmtId="0" fontId="4" fillId="6" borderId="2" xfId="0" applyNumberFormat="1" applyFont="1" applyFill="1" applyBorder="1" applyAlignment="1">
      <x:alignment horizontal="center" vertical="top"/>
    </x:xf>
    <x:xf numFmtId="0" fontId="4" fillId="7" borderId="2" xfId="0" applyNumberFormat="1" applyFont="1" applyFill="1" applyBorder="1" applyAlignment="1">
      <x:alignment horizontal="center" vertical="top"/>
    </x:xf>
    <x:xf numFmtId="0" fontId="4" fillId="5" borderId="3" xfId="0" applyNumberFormat="1" applyFont="1" applyFill="1" applyBorder="1" applyAlignment="1">
      <x:alignment horizontal="center" vertical="top"/>
    </x:xf>
    <x:xf numFmtId="0" fontId="5" fillId="2" borderId="0" xfId="0" applyNumberFormat="1" applyFont="1" applyFill="1" applyBorder="1"/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0" fillId="9" borderId="0" xfId="0" applyNumberFormat="1" applyFont="1" applyFill="1" applyBorder="1"/>
    <x:xf numFmtId="0" fontId="7" fillId="9" borderId="0" xfId="0" applyNumberFormat="1" applyFont="1" applyFill="1" applyBorder="1"/>
    <x:xf numFmtId="200" fontId="7" fillId="9" borderId="0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4" fillId="8" borderId="6" xfId="0" applyNumberFormat="1" applyFont="1" applyFill="1" applyBorder="1"/>
    <x:xf numFmtId="200" fontId="7" fillId="9" borderId="7" xfId="0" applyNumberFormat="1" applyFont="1" applyFill="1" applyBorder="1"/>
    <x:xf numFmtId="0" fontId="4" fillId="8" borderId="8" xfId="0" applyNumberFormat="1" applyFont="1" applyFill="1" applyBorder="1"/>
    <x:xf numFmtId="200" fontId="7" fillId="9" borderId="9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0" fillId="10" borderId="0" xfId="0" applyNumberFormat="1" applyFont="1" applyFill="1" applyBorder="1"/>
    <x:xf numFmtId="0" fontId="8" fillId="10" borderId="0" xfId="0" applyNumberFormat="1" applyFont="1" applyFill="1" applyBorder="1"/>
    <x:xf numFmtId="0" fontId="8" fillId="10" borderId="0" xfId="0" applyNumberFormat="1" applyFont="1" applyFill="1" applyBorder="1" applyAlignment="1">
      <x:alignment wrapText="1"/>
    </x:xf>
    <x:xf numFmtId="0" fontId="4" fillId="8" borderId="10" xfId="0" applyNumberFormat="1" applyFont="1" applyFill="1" applyBorder="1"/>
    <x:xf numFmtId="201" fontId="0" fillId="0" borderId="0" xfId="0" applyNumberFormat="1" applyFont="1" applyFill="1" applyBorder="1"/>
    <x:xf numFmtId="201" fontId="4" fillId="8" borderId="10" xfId="0" applyNumberFormat="1" applyFont="1" applyFill="1" applyBorder="1"/>
    <x:xf numFmtId="202" fontId="0" fillId="0" borderId="0" xfId="0" applyNumberFormat="1" applyFont="1" applyFill="1" applyBorder="1"/>
    <x:xf numFmtId="202" fontId="4" fillId="8" borderId="10" xfId="0" applyNumberFormat="1" applyFont="1" applyFill="1" applyBorder="1"/>
    <x:xf numFmtId="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9fb199c691472d" /><Relationship Type="http://schemas.openxmlformats.org/officeDocument/2006/relationships/theme" Target="/xl/theme/theme1.xml" Id="Rb535dc13a14f4966" /><Relationship Type="http://schemas.openxmlformats.org/officeDocument/2006/relationships/sharedStrings" Target="/xl/sharedStrings.xml" Id="Rb617d32aceee4e4e" /><Relationship Type="http://schemas.openxmlformats.org/officeDocument/2006/relationships/worksheet" Target="/xl/worksheets/sheet1.xml" Id="R17aab777a2b54fd6" /><Relationship Type="http://schemas.openxmlformats.org/officeDocument/2006/relationships/worksheet" Target="/xl/worksheets/sheet2.xml" Id="R9fbbb37698d447f7" /><Relationship Type="http://schemas.openxmlformats.org/officeDocument/2006/relationships/worksheet" Target="/xl/worksheets/sheet3.xml" Id="R44732751beb8457c" /><Relationship Type="http://schemas.openxmlformats.org/officeDocument/2006/relationships/worksheet" Target="/xl/worksheets/sheet4.xml" Id="Re22ea216c6aa4151" /></Relationships>
</file>

<file path=xl/tables/table1.xml><?xml version="1.0" encoding="utf-8"?>
<x:table xmlns:x="http://schemas.openxmlformats.org/spreadsheetml/2006/main" id="1" name="IndicatorCatalog" displayName="IndicatorCatalog" ref="A4:M34" headerRowCount="1" totalsRowCount="0" totalsRowShown="0">
  <x:tableColumns count="13">
    <x:tableColumn id="1" name="模块"/>
    <x:tableColumn id="2" name="地区"/>
    <x:tableColumn id="3" name="指标"/>
    <x:tableColumn id="4" name="频率"/>
    <x:tableColumn id="5" name="时间口径"/>
    <x:tableColumn id="6" name="单位"/>
    <x:tableColumn id="7" name="优先来源"/>
    <x:tableColumn id="8" name="当前状态"/>
    <x:tableColumn id="9" name="优先级"/>
    <x:tableColumn id="10" name="可获得范围"/>
    <x:tableColumn id="11" name="落地方式"/>
    <x:tableColumn id="12" name="来源URL"/>
    <x:tableColumn id="13" name="课件对应/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OilseedDistribution" displayName="OilseedDistribution" ref="A4:I12" headerRowCount="1" totalsRowCount="0" totalsRowShown="0">
  <x:tableColumns count="9">
    <x:tableColumn id="1" name="品种"/>
    <x:tableColumn id="2" name="产量"/>
    <x:tableColumn id="3" name="产量占比"/>
    <x:tableColumn id="4" name="出口"/>
    <x:tableColumn id="5" name="出口占比"/>
    <x:tableColumn id="6" name="进口"/>
    <x:tableColumn id="7" name="进口占比"/>
    <x:tableColumn id="8" name="压榨"/>
    <x:tableColumn id="9" name="压榨占比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xistingAssets" displayName="ExistingAssets" ref="A4:F12" headerRowCount="1" totalsRowCount="0" totalsRowShown="0">
  <x:tableColumns count="6">
    <x:tableColumn id="1" name="资产"/>
    <x:tableColumn id="2" name="位置/表"/>
    <x:tableColumn id="3" name="覆盖"/>
    <x:tableColumn id="4" name="最新快照"/>
    <x:tableColumn id="5" name="状态"/>
    <x:tableColumn id="6" name="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11a4808e689495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8bc335275a244a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66ea5d4b2de413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4" hidden="0" customWidth="1"/>
    <x:col min="3" max="3" width="3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0" customHeight="1">
      <x:c r="A1" s="33" t="str">
        <x:v>中信期货农产品框架｜数据落地总览</x:v>
      </x:c>
      <x:c r="B1" s="33"/>
      <x:c r="C1" s="33"/>
      <x:c r="D1" s="33"/>
      <x:c r="E1" s="33"/>
      <x:c r="F1" s="33"/>
      <x:c r="G1" s="33"/>
      <x:c r="H1" s="33"/>
    </x:row>
    <x:row r="2" ht="38" customHeight="1">
      <x:c r="A2" s="35" t="str">
        <x:v>结论：年度供需和课件第3页油料分布已经能直接做；国内高频库存、现货和利润需要商业数据或持续手工留档。</x:v>
      </x:c>
      <x:c r="B2" s="35"/>
      <x:c r="C2" s="35"/>
      <x:c r="D2" s="35"/>
      <x:c r="E2" s="35"/>
      <x:c r="F2" s="35"/>
      <x:c r="G2" s="35"/>
      <x:c r="H2" s="35"/>
    </x:row>
    <x:row r="4">
      <x:c r="A4" s="41" t="str">
        <x:v>指标</x:v>
      </x:c>
      <x:c r="B4" s="42" t="str">
        <x:v>数量</x:v>
      </x:c>
      <x:c r="D4" s="7" t="str">
        <x:v>建议实施顺序</x:v>
      </x:c>
      <x:c r="E4" s="7"/>
      <x:c r="F4" s="7"/>
      <x:c r="G4" s="7"/>
      <x:c r="H4" s="7"/>
    </x:row>
    <x:row r="5">
      <x:c r="A5" s="43" t="str">
        <x:v>目录总项数</x:v>
      </x:c>
      <x:c r="B5" s="44" t="n">
        <x:f>COUNTA('指标数据目录'!C5:C34)</x:f>
        <x:v>30</x:v>
      </x:c>
      <x:c r="D5" s="37" t="str">
        <x:v>阶段</x:v>
      </x:c>
      <x:c r="E5" s="37" t="str">
        <x:v>工作</x:v>
      </x:c>
      <x:c r="F5" s="37" t="str">
        <x:v>成果</x:v>
      </x:c>
      <x:c r="G5" s="37" t="str">
        <x:v>验证</x:v>
      </x:c>
      <x:c r="H5" s="37" t="str">
        <x:v>备注</x:v>
      </x:c>
    </x:row>
    <x:row r="6">
      <x:c r="A6" s="43" t="str">
        <x:v>已落地/已重算</x:v>
      </x:c>
      <x:c r="B6" s="44" t="n">
        <x:f>COUNTIF('指标数据目录'!H5:H34,"已落地")+COUNTIF('指标数据目录'!H5:H34,"已重算")</x:f>
        <x:v>8</x:v>
      </x:c>
      <x:c r="D6" s="24" t="str">
        <x:v>1 已完成</x:v>
      </x:c>
      <x:c r="E6" s="24" t="str">
        <x:v>USDA PSD/WASDE</x:v>
      </x:c>
      <x:c r="F6" s="24" t="str">
        <x:v>SQLite、年度工作簿、报告</x:v>
      </x:c>
      <x:c r="G6" s="24" t="str">
        <x:v>3项测试通过</x:v>
      </x:c>
      <x:c r="H6" s="24" t="str">
        <x:v>先用年度框架做研究底座</x:v>
      </x:c>
    </x:row>
    <x:row r="7">
      <x:c r="A7" s="43" t="str">
        <x:v>官方公开可补</x:v>
      </x:c>
      <x:c r="B7" s="44" t="n">
        <x:f>COUNTIF('指标数据目录'!H5:H34,"官方公开可补")</x:f>
        <x:v>10</x:v>
      </x:c>
      <x:c r="D7" s="25" t="str">
        <x:v>2 立即做</x:v>
      </x:c>
      <x:c r="E7" s="25" t="str">
        <x:v>CASDE + 海关 + NBS/养殖</x:v>
      </x:c>
      <x:c r="F7" s="25" t="str">
        <x:v>中国月度/季度表</x:v>
      </x:c>
      <x:c r="G7" s="25" t="str">
        <x:v>同口径校验</x:v>
      </x:c>
      <x:c r="H7" s="25" t="str">
        <x:v>免费官方数据为主</x:v>
      </x:c>
    </x:row>
    <x:row r="8">
      <x:c r="A8" s="43" t="str">
        <x:v>需整理/授权/缺输入</x:v>
      </x:c>
      <x:c r="B8" s="44" t="n">
        <x:f>B5-B6-B7</x:f>
        <x:v>12</x:v>
      </x:c>
      <x:c r="D8" s="25" t="str">
        <x:v>3 再做</x:v>
      </x:c>
      <x:c r="E8" s="25" t="str">
        <x:v>DCE行情/仓单 + NASS/出口</x:v>
      </x:c>
      <x:c r="F8" s="25" t="str">
        <x:v>日周度市场表</x:v>
      </x:c>
      <x:c r="G8" s="25" t="str">
        <x:v>断点与换月检查</x:v>
      </x:c>
      <x:c r="H8" s="25" t="str">
        <x:v>可持续自动更新</x:v>
      </x:c>
    </x:row>
    <x:row r="9">
      <x:c r="A9" s="45" t="str">
        <x:v>现有自动化测试</x:v>
      </x:c>
      <x:c r="B9" s="46" t="n">
        <x:v>3</x:v>
      </x:c>
      <x:c r="D9" s="26" t="str">
        <x:v>4 需决策</x:v>
      </x:c>
      <x:c r="E9" s="26" t="str">
        <x:v>油厂库存/压榨/现货/升贴水</x:v>
      </x:c>
      <x:c r="F9" s="26" t="str">
        <x:v>高频利润与基差</x:v>
      </x:c>
      <x:c r="G9" s="26" t="str">
        <x:v>供应商对账</x:v>
      </x:c>
      <x:c r="H9" s="26" t="str">
        <x:v>需要商业授权或人工留档</x:v>
      </x:c>
    </x:row>
    <x:row r="12">
      <x:c r="A12" s="50" t="str">
        <x:v>口径红线</x:v>
      </x:c>
      <x:c r="B12" s="50"/>
      <x:c r="C12" s="50"/>
      <x:c r="D12" s="50"/>
      <x:c r="E12" s="50"/>
      <x:c r="F12" s="50"/>
      <x:c r="G12" s="50"/>
      <x:c r="H12" s="50"/>
    </x:row>
    <x:row r="13" ht="25" customHeight="1">
      <x:c r="A13" s="53" t="str">
        <x:v>1. USDA/CASDE 的市场年度、海关/NBS 的自然年必须分列，不能无说明拼接。</x:v>
      </x:c>
      <x:c r="B13" s="53"/>
      <x:c r="C13" s="53"/>
      <x:c r="D13" s="53"/>
      <x:c r="E13" s="53"/>
      <x:c r="F13" s="53"/>
      <x:c r="G13" s="53"/>
      <x:c r="H13" s="53"/>
    </x:row>
    <x:row r="14" ht="25" customHeight="1">
      <x:c r="A14" s="53" t="str">
        <x:v>2. 平衡表期末库存、交易所仓单、港口/油厂商业库存是三种不同概念。</x:v>
      </x:c>
      <x:c r="B14" s="53"/>
      <x:c r="C14" s="53"/>
      <x:c r="D14" s="53"/>
      <x:c r="E14" s="53"/>
      <x:c r="F14" s="53"/>
      <x:c r="G14" s="53"/>
      <x:c r="H14" s="53"/>
    </x:row>
    <x:row r="15" ht="25" customHeight="1">
      <x:c r="A15" s="53" t="str">
        <x:v>3. 基差必须固定现货地区、报价时点、期货合约和换月规则。</x:v>
      </x:c>
      <x:c r="B15" s="53"/>
      <x:c r="C15" s="53"/>
      <x:c r="D15" s="53"/>
      <x:c r="E15" s="53"/>
      <x:c r="F15" s="53"/>
      <x:c r="G15" s="53"/>
      <x:c r="H15" s="53"/>
    </x:row>
    <x:row r="16" ht="25" customHeight="1">
      <x:c r="A16" s="53" t="str">
        <x:v>4. 课件截图只作为指标线索；落库数字以原始文件快照和来源日期为准。</x:v>
      </x:c>
      <x:c r="B16" s="53"/>
      <x:c r="C16" s="53"/>
      <x:c r="D16" s="53"/>
      <x:c r="E16" s="53"/>
      <x:c r="F16" s="53"/>
      <x:c r="G16" s="53"/>
      <x:c r="H16" s="53"/>
    </x:row>
  </x:sheetData>
  <x:mergeCells>
    <x:mergeCell ref="A1:H1"/>
    <x:mergeCell ref="A2:H2"/>
    <x:mergeCell ref="D4:H4"/>
    <x:mergeCell ref="A12:H12"/>
    <x:mergeCell ref="A13:H13"/>
    <x:mergeCell ref="A14:H14"/>
    <x:mergeCell ref="A15:H15"/>
    <x:mergeCell ref="A16:H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2" hidden="0" customWidth="1"/>
    <x:col min="3" max="3" width="26" hidden="0" customWidth="1"/>
    <x:col min="4" max="4" width="13" hidden="0" customWidth="1"/>
    <x:col min="5" max="5" width="13" hidden="0" customWidth="1"/>
    <x:col min="6" max="6" width="13" hidden="0" customWidth="1"/>
    <x:col min="7" max="7" width="22" hidden="0" customWidth="1"/>
    <x:col min="8" max="8" width="20" hidden="0" customWidth="1"/>
    <x:col min="9" max="9" width="9" hidden="0" customWidth="1"/>
    <x:col min="10" max="10" width="26" hidden="0" customWidth="1"/>
    <x:col min="11" max="11" width="26" hidden="0" customWidth="1"/>
    <x:col min="12" max="12" width="38" hidden="0" customWidth="1"/>
    <x:col min="13" max="13" width="34" hidden="0" customWidth="1"/>
  </x:cols>
  <x:sheetData>
    <x:row r="1" ht="28" customHeight="1">
      <x:c r="A1" s="2" t="str">
        <x:v>课件指标数据目录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34" customHeight="1">
      <x:c r="A2" s="5" t="str">
        <x:v>按“已落地—官方公开可补—商业授权/人工整理—派生项”拆分；任何跨来源拼接都保留市场年度/自然年口径。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</x:row>
    <x:row r="4" ht="28" customHeight="1">
      <x:c r="A4" s="8" t="str">
        <x:v>模块</x:v>
      </x:c>
      <x:c r="B4" s="8" t="str">
        <x:v>地区</x:v>
      </x:c>
      <x:c r="C4" s="8" t="str">
        <x:v>指标</x:v>
      </x:c>
      <x:c r="D4" s="8" t="str">
        <x:v>频率</x:v>
      </x:c>
      <x:c r="E4" s="8" t="str">
        <x:v>时间口径</x:v>
      </x:c>
      <x:c r="F4" s="8" t="str">
        <x:v>单位</x:v>
      </x:c>
      <x:c r="G4" s="8" t="str">
        <x:v>优先来源</x:v>
      </x:c>
      <x:c r="H4" s="8" t="str">
        <x:v>当前状态</x:v>
      </x:c>
      <x:c r="I4" s="8" t="str">
        <x:v>优先级</x:v>
      </x:c>
      <x:c r="J4" s="8" t="str">
        <x:v>可获得范围</x:v>
      </x:c>
      <x:c r="K4" s="8" t="str">
        <x:v>落地方式</x:v>
      </x:c>
      <x:c r="L4" s="8" t="str">
        <x:v>来源URL</x:v>
      </x:c>
      <x:c r="M4" s="8" t="str">
        <x:v>课件对应/备注</x:v>
      </x:c>
    </x:row>
    <x:row r="5">
      <x:c r="A5" s="24" t="str">
        <x:v>生产</x:v>
      </x:c>
      <x:c r="B5" s="24" t="str">
        <x:v>全球/主产国</x:v>
      </x:c>
      <x:c r="C5" s="24" t="str">
        <x:v>大豆收获面积</x:v>
      </x:c>
      <x:c r="D5" s="24" t="str">
        <x:v>年度</x:v>
      </x:c>
      <x:c r="E5" s="24" t="str">
        <x:v>市场年度</x:v>
      </x:c>
      <x:c r="F5" s="24" t="str">
        <x:v>千公顷</x:v>
      </x:c>
      <x:c r="G5" s="24" t="str">
        <x:v>USDA PSD</x:v>
      </x:c>
      <x:c r="H5" s="27" t="str">
        <x:v>已落地</x:v>
      </x:c>
      <x:c r="I5" s="21" t="str">
        <x:v>高</x:v>
      </x:c>
      <x:c r="J5" s="24" t="str">
        <x:v>1964/65—2026/27；98个国家/地区</x:v>
      </x:c>
      <x:c r="K5" s="24" t="str">
        <x:v>SQLite + 年度工作簿</x:v>
      </x:c>
      <x:c r="L5" s="24" t="str">
        <x:v>https://apps.fas.usda.gov/PSDOnline/app/index.html</x:v>
      </x:c>
      <x:c r="M5" s="24" t="str">
        <x:v>对应课件“产量由面积和单产决定”</x:v>
      </x:c>
    </x:row>
    <x:row r="6">
      <x:c r="A6" s="25" t="str">
        <x:v>生产</x:v>
      </x:c>
      <x:c r="B6" s="25" t="str">
        <x:v>全球/主产国</x:v>
      </x:c>
      <x:c r="C6" s="25" t="str">
        <x:v>大豆单产</x:v>
      </x:c>
      <x:c r="D6" s="25" t="str">
        <x:v>年度</x:v>
      </x:c>
      <x:c r="E6" s="25" t="str">
        <x:v>市场年度</x:v>
      </x:c>
      <x:c r="F6" s="25" t="str">
        <x:v>吨/公顷</x:v>
      </x:c>
      <x:c r="G6" s="25" t="str">
        <x:v>USDA PSD</x:v>
      </x:c>
      <x:c r="H6" s="28" t="str">
        <x:v>已落地</x:v>
      </x:c>
      <x:c r="I6" s="22" t="str">
        <x:v>高</x:v>
      </x:c>
      <x:c r="J6" s="25" t="str">
        <x:v>1964/65—2026/27</x:v>
      </x:c>
      <x:c r="K6" s="25" t="str">
        <x:v>SQLite + 年度工作簿</x:v>
      </x:c>
      <x:c r="L6" s="25" t="str">
        <x:v>https://apps.fas.usda.gov/PSDOnline/app/index.html</x:v>
      </x:c>
      <x:c r="M6" s="25" t="str">
        <x:v>可与面积、产量联动</x:v>
      </x:c>
    </x:row>
    <x:row r="7">
      <x:c r="A7" s="25" t="str">
        <x:v>生产</x:v>
      </x:c>
      <x:c r="B7" s="25" t="str">
        <x:v>全球/主产国</x:v>
      </x:c>
      <x:c r="C7" s="25" t="str">
        <x:v>大豆产量</x:v>
      </x:c>
      <x:c r="D7" s="25" t="str">
        <x:v>年度</x:v>
      </x:c>
      <x:c r="E7" s="25" t="str">
        <x:v>市场年度</x:v>
      </x:c>
      <x:c r="F7" s="25" t="str">
        <x:v>千吨</x:v>
      </x:c>
      <x:c r="G7" s="25" t="str">
        <x:v>USDA PSD</x:v>
      </x:c>
      <x:c r="H7" s="28" t="str">
        <x:v>已落地</x:v>
      </x:c>
      <x:c r="I7" s="22" t="str">
        <x:v>高</x:v>
      </x:c>
      <x:c r="J7" s="25" t="str">
        <x:v>1964/65—2026/27</x:v>
      </x:c>
      <x:c r="K7" s="25" t="str">
        <x:v>SQLite + 年度工作簿</x:v>
      </x:c>
      <x:c r="L7" s="25" t="str">
        <x:v>https://apps.fas.usda.gov/PSDOnline/app/index.html</x:v>
      </x:c>
      <x:c r="M7" s="25" t="str">
        <x:v>中国、美国、巴西、阿根廷已生成宽表</x:v>
      </x:c>
    </x:row>
    <x:row r="8">
      <x:c r="A8" s="25" t="str">
        <x:v>生产</x:v>
      </x:c>
      <x:c r="B8" s="25" t="str">
        <x:v>美国</x:v>
      </x:c>
      <x:c r="C8" s="25" t="str">
        <x:v>播种进度/优良率</x:v>
      </x:c>
      <x:c r="D8" s="25" t="str">
        <x:v>周度</x:v>
      </x:c>
      <x:c r="E8" s="25" t="str">
        <x:v>作物年度</x:v>
      </x:c>
      <x:c r="F8" s="25" t="str">
        <x:v>%</x:v>
      </x:c>
      <x:c r="G8" s="25" t="str">
        <x:v>USDA NASS Crop Progress</x:v>
      </x:c>
      <x:c r="H8" s="29" t="str">
        <x:v>官方公开可补</x:v>
      </x:c>
      <x:c r="I8" s="22" t="str">
        <x:v>高</x:v>
      </x:c>
      <x:c r="J8" s="25" t="str">
        <x:v>通常覆盖当季及历史报告</x:v>
      </x:c>
      <x:c r="K8" s="25" t="str">
        <x:v>待建采集器</x:v>
      </x:c>
      <x:c r="L8" s="25" t="str">
        <x:v>https://www.nass.usda.gov/Newsroom/2026/crop-progress.php</x:v>
      </x:c>
      <x:c r="M8" s="25" t="str">
        <x:v>课件所示周度优良率核心数据</x:v>
      </x:c>
    </x:row>
    <x:row r="9">
      <x:c r="A9" s="25" t="str">
        <x:v>生产</x:v>
      </x:c>
      <x:c r="B9" s="25" t="str">
        <x:v>巴西</x:v>
      </x:c>
      <x:c r="C9" s="25" t="str">
        <x:v>面积/单产/产量（州级）</x:v>
      </x:c>
      <x:c r="D9" s="25" t="str">
        <x:v>月度/年度</x:v>
      </x:c>
      <x:c r="E9" s="25" t="str">
        <x:v>作物年度</x:v>
      </x:c>
      <x:c r="F9" s="25" t="str">
        <x:v>千公顷、千吨</x:v>
      </x:c>
      <x:c r="G9" s="25" t="str">
        <x:v>CONAB</x:v>
      </x:c>
      <x:c r="H9" s="29" t="str">
        <x:v>官方公开可补</x:v>
      </x:c>
      <x:c r="I9" s="22" t="str">
        <x:v>高</x:v>
      </x:c>
      <x:c r="J9" s="25" t="str">
        <x:v>历史作物系列</x:v>
      </x:c>
      <x:c r="K9" s="25" t="str">
        <x:v>待下载历史表</x:v>
      </x:c>
      <x:c r="L9" s="25" t="str">
        <x:v>https://portaldeinformacoes.conab.gov.br/safra-serie-historica-graos.html</x:v>
      </x:c>
      <x:c r="M9" s="25" t="str">
        <x:v>补足巴西州级产区</x:v>
      </x:c>
    </x:row>
    <x:row r="10">
      <x:c r="A10" s="25" t="str">
        <x:v>生产</x:v>
      </x:c>
      <x:c r="B10" s="25" t="str">
        <x:v>阿根廷</x:v>
      </x:c>
      <x:c r="C10" s="25" t="str">
        <x:v>面积/单产/产量（省级）</x:v>
      </x:c>
      <x:c r="D10" s="25" t="str">
        <x:v>月度/年度</x:v>
      </x:c>
      <x:c r="E10" s="25" t="str">
        <x:v>作物年度</x:v>
      </x:c>
      <x:c r="F10" s="25" t="str">
        <x:v>公顷、吨</x:v>
      </x:c>
      <x:c r="G10" s="25" t="str">
        <x:v>阿根廷农业部门</x:v>
      </x:c>
      <x:c r="H10" s="29" t="str">
        <x:v>官方公开可补</x:v>
      </x:c>
      <x:c r="I10" s="22" t="str">
        <x:v>中</x:v>
      </x:c>
      <x:c r="J10" s="25" t="str">
        <x:v>历史估计表</x:v>
      </x:c>
      <x:c r="K10" s="25" t="str">
        <x:v>待下载历史表</x:v>
      </x:c>
      <x:c r="L10" s="25" t="str">
        <x:v>https://datosestimaciones.magyp.gob.ar/reportes.php?reporte=Estimaciones</x:v>
      </x:c>
      <x:c r="M10" s="25" t="str">
        <x:v>补足阿根廷省级产区</x:v>
      </x:c>
    </x:row>
    <x:row r="11">
      <x:c r="A11" s="25" t="str">
        <x:v>生产</x:v>
      </x:c>
      <x:c r="B11" s="25" t="str">
        <x:v>中国</x:v>
      </x:c>
      <x:c r="C11" s="25" t="str">
        <x:v>大豆播种面积/产量</x:v>
      </x:c>
      <x:c r="D11" s="25" t="str">
        <x:v>年度</x:v>
      </x:c>
      <x:c r="E11" s="25" t="str">
        <x:v>自然年</x:v>
      </x:c>
      <x:c r="F11" s="25" t="str">
        <x:v>千公顷、万吨</x:v>
      </x:c>
      <x:c r="G11" s="25" t="str">
        <x:v>国家统计局</x:v>
      </x:c>
      <x:c r="H11" s="29" t="str">
        <x:v>官方公开可补</x:v>
      </x:c>
      <x:c r="I11" s="22" t="str">
        <x:v>高</x:v>
      </x:c>
      <x:c r="J11" s="25" t="str">
        <x:v>年度及部分分省数据</x:v>
      </x:c>
      <x:c r="K11" s="25" t="str">
        <x:v>待整理下载</x:v>
      </x:c>
      <x:c r="L11" s="25" t="str">
        <x:v>https://data.stats.gov.cn/</x:v>
      </x:c>
      <x:c r="M11" s="25" t="str">
        <x:v>豆一国产供给核心</x:v>
      </x:c>
    </x:row>
    <x:row r="12">
      <x:c r="A12" s="25" t="str">
        <x:v>供需平衡</x:v>
      </x:c>
      <x:c r="B12" s="25" t="str">
        <x:v>中国</x:v>
      </x:c>
      <x:c r="C12" s="25" t="str">
        <x:v>大豆平衡表</x:v>
      </x:c>
      <x:c r="D12" s="25" t="str">
        <x:v>月度发布/年度值</x:v>
      </x:c>
      <x:c r="E12" s="25" t="str">
        <x:v>10月—次年9月</x:v>
      </x:c>
      <x:c r="F12" s="25" t="str">
        <x:v>万吨</x:v>
      </x:c>
      <x:c r="G12" s="25" t="str">
        <x:v>CASDE</x:v>
      </x:c>
      <x:c r="H12" s="29" t="str">
        <x:v>官方公开可补</x:v>
      </x:c>
      <x:c r="I12" s="22" t="str">
        <x:v>高</x:v>
      </x:c>
      <x:c r="J12" s="25" t="str">
        <x:v>历史月报 PDF</x:v>
      </x:c>
      <x:c r="K12" s="25" t="str">
        <x:v>待做PDF抽取与人工复核</x:v>
      </x:c>
      <x:c r="L12" s="25" t="str">
        <x:v>https://scs.moa.gov.cn/jcyj/</x:v>
      </x:c>
      <x:c r="M12" s="25" t="str">
        <x:v>含面积、单产、产量、进口、压榨、食用、结余</x:v>
      </x:c>
    </x:row>
    <x:row r="13">
      <x:c r="A13" s="25" t="str">
        <x:v>贸易</x:v>
      </x:c>
      <x:c r="B13" s="25" t="str">
        <x:v>中国</x:v>
      </x:c>
      <x:c r="C13" s="25" t="str">
        <x:v>大豆进口量/金额/来源国</x:v>
      </x:c>
      <x:c r="D13" s="25" t="str">
        <x:v>月度</x:v>
      </x:c>
      <x:c r="E13" s="25" t="str">
        <x:v>自然月</x:v>
      </x:c>
      <x:c r="F13" s="25" t="str">
        <x:v>吨、美元</x:v>
      </x:c>
      <x:c r="G13" s="25" t="str">
        <x:v>海关统计</x:v>
      </x:c>
      <x:c r="H13" s="29" t="str">
        <x:v>官方公开可补</x:v>
      </x:c>
      <x:c r="I13" s="22" t="str">
        <x:v>高</x:v>
      </x:c>
      <x:c r="J13" s="25" t="str">
        <x:v>2018年以来在线查询较便利</x:v>
      </x:c>
      <x:c r="K13" s="25" t="str">
        <x:v>建议人工导出CSV后自动入库</x:v>
      </x:c>
      <x:c r="L13" s="25" t="str">
        <x:v>https://online.customs.gov.cn/</x:v>
      </x:c>
      <x:c r="M13" s="25" t="str">
        <x:v>按巴西/美国/阿根廷拆分</x:v>
      </x:c>
    </x:row>
    <x:row r="14">
      <x:c r="A14" s="25" t="str">
        <x:v>贸易</x:v>
      </x:c>
      <x:c r="B14" s="25" t="str">
        <x:v>全球/主产国</x:v>
      </x:c>
      <x:c r="C14" s="25" t="str">
        <x:v>大豆进口/出口</x:v>
      </x:c>
      <x:c r="D14" s="25" t="str">
        <x:v>年度</x:v>
      </x:c>
      <x:c r="E14" s="25" t="str">
        <x:v>市场年度</x:v>
      </x:c>
      <x:c r="F14" s="25" t="str">
        <x:v>千吨</x:v>
      </x:c>
      <x:c r="G14" s="25" t="str">
        <x:v>USDA PSD</x:v>
      </x:c>
      <x:c r="H14" s="28" t="str">
        <x:v>已落地</x:v>
      </x:c>
      <x:c r="I14" s="22" t="str">
        <x:v>高</x:v>
      </x:c>
      <x:c r="J14" s="25" t="str">
        <x:v>1964/65—2026/27</x:v>
      </x:c>
      <x:c r="K14" s="25" t="str">
        <x:v>SQLite + 年度工作簿</x:v>
      </x:c>
      <x:c r="L14" s="25" t="str">
        <x:v>https://apps.fas.usda.gov/PSDOnline/app/index.html</x:v>
      </x:c>
      <x:c r="M14" s="25" t="str">
        <x:v>年度贸易对比可直接使用</x:v>
      </x:c>
    </x:row>
    <x:row r="15">
      <x:c r="A15" s="25" t="str">
        <x:v>贸易</x:v>
      </x:c>
      <x:c r="B15" s="25" t="str">
        <x:v>美国</x:v>
      </x:c>
      <x:c r="C15" s="25" t="str">
        <x:v>出口销售/出口检验</x:v>
      </x:c>
      <x:c r="D15" s="25" t="str">
        <x:v>周度</x:v>
      </x:c>
      <x:c r="E15" s="25" t="str">
        <x:v>作物年度</x:v>
      </x:c>
      <x:c r="F15" s="25" t="str">
        <x:v>吨</x:v>
      </x:c>
      <x:c r="G15" s="25" t="str">
        <x:v>USDA FAS/AMS</x:v>
      </x:c>
      <x:c r="H15" s="29" t="str">
        <x:v>官方公开可补</x:v>
      </x:c>
      <x:c r="I15" s="22" t="str">
        <x:v>高</x:v>
      </x:c>
      <x:c r="J15" s="25" t="str">
        <x:v>公开周报</x:v>
      </x:c>
      <x:c r="K15" s="25" t="str">
        <x:v>待建采集器</x:v>
      </x:c>
      <x:c r="L15" s="25" t="str">
        <x:v>https://apps.fas.usda.gov/export-sales/esrd1.html</x:v>
      </x:c>
      <x:c r="M15" s="25" t="str">
        <x:v>短期出口节奏</x:v>
      </x:c>
    </x:row>
    <x:row r="16">
      <x:c r="A16" s="25" t="str">
        <x:v>压榨</x:v>
      </x:c>
      <x:c r="B16" s="25" t="str">
        <x:v>全球/主产国</x:v>
      </x:c>
      <x:c r="C16" s="25" t="str">
        <x:v>大豆压榨量</x:v>
      </x:c>
      <x:c r="D16" s="25" t="str">
        <x:v>年度</x:v>
      </x:c>
      <x:c r="E16" s="25" t="str">
        <x:v>市场年度</x:v>
      </x:c>
      <x:c r="F16" s="25" t="str">
        <x:v>千吨</x:v>
      </x:c>
      <x:c r="G16" s="25" t="str">
        <x:v>USDA PSD</x:v>
      </x:c>
      <x:c r="H16" s="28" t="str">
        <x:v>已落地</x:v>
      </x:c>
      <x:c r="I16" s="22" t="str">
        <x:v>高</x:v>
      </x:c>
      <x:c r="J16" s="25" t="str">
        <x:v>1964/65—2026/27</x:v>
      </x:c>
      <x:c r="K16" s="25" t="str">
        <x:v>SQLite + 年度工作簿</x:v>
      </x:c>
      <x:c r="L16" s="25" t="str">
        <x:v>https://apps.fas.usda.gov/PSDOnline/app/index.html</x:v>
      </x:c>
      <x:c r="M16" s="25" t="str">
        <x:v>中国压榨量已生成</x:v>
      </x:c>
    </x:row>
    <x:row r="17">
      <x:c r="A17" s="25" t="str">
        <x:v>压榨</x:v>
      </x:c>
      <x:c r="B17" s="25" t="str">
        <x:v>中国</x:v>
      </x:c>
      <x:c r="C17" s="25" t="str">
        <x:v>压榨产能/企业分布</x:v>
      </x:c>
      <x:c r="D17" s="25" t="str">
        <x:v>年度</x:v>
      </x:c>
      <x:c r="E17" s="25" t="str">
        <x:v>自然年</x:v>
      </x:c>
      <x:c r="F17" s="25" t="str">
        <x:v>万吨/日、占比</x:v>
      </x:c>
      <x:c r="G17" s="25" t="str">
        <x:v>行业名录/企业公告/商业机构</x:v>
      </x:c>
      <x:c r="H17" s="30" t="str">
        <x:v>需人工整理</x:v>
      </x:c>
      <x:c r="I17" s="22" t="str">
        <x:v>中</x:v>
      </x:c>
      <x:c r="J17" s="25" t="str">
        <x:v>公开口径分散</x:v>
      </x:c>
      <x:c r="K17" s="25" t="str">
        <x:v>建立企业主数据表</x:v>
      </x:c>
      <x:c r="L17" s="25" t="str"/>
      <x:c r="M17" s="25" t="str">
        <x:v>课件13页；不宜把单张旧图长期沿用</x:v>
      </x:c>
    </x:row>
    <x:row r="18">
      <x:c r="A18" s="25" t="str">
        <x:v>压榨</x:v>
      </x:c>
      <x:c r="B18" s="25" t="str">
        <x:v>中国</x:v>
      </x:c>
      <x:c r="C18" s="25" t="str">
        <x:v>油厂周度压榨量/开机率</x:v>
      </x:c>
      <x:c r="D18" s="25" t="str">
        <x:v>周度</x:v>
      </x:c>
      <x:c r="E18" s="25" t="str">
        <x:v>自然周</x:v>
      </x:c>
      <x:c r="F18" s="25" t="str">
        <x:v>万吨、%</x:v>
      </x:c>
      <x:c r="G18" s="25" t="str">
        <x:v>商业资讯商</x:v>
      </x:c>
      <x:c r="H18" s="31" t="str">
        <x:v>需商业授权</x:v>
      </x:c>
      <x:c r="I18" s="22" t="str">
        <x:v>高</x:v>
      </x:c>
      <x:c r="J18" s="25" t="str">
        <x:v>通常为付费长历史</x:v>
      </x:c>
      <x:c r="K18" s="25" t="str">
        <x:v>明确供应商与授权后接入</x:v>
      </x:c>
      <x:c r="L18" s="25" t="str"/>
      <x:c r="M18" s="25" t="str">
        <x:v>短期豆粕供应关键</x:v>
      </x:c>
    </x:row>
    <x:row r="19">
      <x:c r="A19" s="25" t="str">
        <x:v>需求</x:v>
      </x:c>
      <x:c r="B19" s="25" t="str">
        <x:v>中国</x:v>
      </x:c>
      <x:c r="C19" s="25" t="str">
        <x:v>豆粕产量/消费/饲用</x:v>
      </x:c>
      <x:c r="D19" s="25" t="str">
        <x:v>年度</x:v>
      </x:c>
      <x:c r="E19" s="25" t="str">
        <x:v>市场年度</x:v>
      </x:c>
      <x:c r="F19" s="25" t="str">
        <x:v>千吨</x:v>
      </x:c>
      <x:c r="G19" s="25" t="str">
        <x:v>USDA PSD</x:v>
      </x:c>
      <x:c r="H19" s="28" t="str">
        <x:v>已落地</x:v>
      </x:c>
      <x:c r="I19" s="22" t="str">
        <x:v>高</x:v>
      </x:c>
      <x:c r="J19" s="25" t="str">
        <x:v>2000/01—2026/27已生成</x:v>
      </x:c>
      <x:c r="K19" s="25" t="str">
        <x:v>年度工作簿</x:v>
      </x:c>
      <x:c r="L19" s="25" t="str">
        <x:v>https://apps.fas.usda.gov/PSDOnline/app/index.html</x:v>
      </x:c>
      <x:c r="M19" s="25" t="str">
        <x:v>豆粕年度供需宽表</x:v>
      </x:c>
    </x:row>
    <x:row r="20">
      <x:c r="A20" s="25" t="str">
        <x:v>需求</x:v>
      </x:c>
      <x:c r="B20" s="25" t="str">
        <x:v>中国</x:v>
      </x:c>
      <x:c r="C20" s="25" t="str">
        <x:v>饲料产量（猪料/禽料/水产）</x:v>
      </x:c>
      <x:c r="D20" s="25" t="str">
        <x:v>月度</x:v>
      </x:c>
      <x:c r="E20" s="25" t="str">
        <x:v>自然月</x:v>
      </x:c>
      <x:c r="F20" s="25" t="str">
        <x:v>万吨</x:v>
      </x:c>
      <x:c r="G20" s="25" t="str">
        <x:v>农业农村部/饲料工业协会</x:v>
      </x:c>
      <x:c r="H20" s="30" t="str">
        <x:v>公开但需整理</x:v>
      </x:c>
      <x:c r="I20" s="22" t="str">
        <x:v>高</x:v>
      </x:c>
      <x:c r="J20" s="25" t="str">
        <x:v>公告和月报口径分散</x:v>
      </x:c>
      <x:c r="K20" s="25" t="str">
        <x:v>先做总量，再按品类补齐</x:v>
      </x:c>
      <x:c r="L20" s="25" t="str">
        <x:v>https://www.moa.gov.cn/</x:v>
      </x:c>
      <x:c r="M20" s="25" t="str">
        <x:v>课件“中国饲料种类分布”及需求前验</x:v>
      </x:c>
    </x:row>
    <x:row r="21">
      <x:c r="A21" s="25" t="str">
        <x:v>需求</x:v>
      </x:c>
      <x:c r="B21" s="25" t="str">
        <x:v>中国</x:v>
      </x:c>
      <x:c r="C21" s="25" t="str">
        <x:v>生猪存栏/能繁母猪</x:v>
      </x:c>
      <x:c r="D21" s="25" t="str">
        <x:v>月度/季度</x:v>
      </x:c>
      <x:c r="E21" s="25" t="str">
        <x:v>自然月/季</x:v>
      </x:c>
      <x:c r="F21" s="25" t="str">
        <x:v>万头</x:v>
      </x:c>
      <x:c r="G21" s="25" t="str">
        <x:v>农业农村部/国家统计局</x:v>
      </x:c>
      <x:c r="H21" s="29" t="str">
        <x:v>官方公开可补</x:v>
      </x:c>
      <x:c r="I21" s="22" t="str">
        <x:v>高</x:v>
      </x:c>
      <x:c r="J21" s="25" t="str">
        <x:v>公开公告，需统一频率</x:v>
      </x:c>
      <x:c r="K21" s="25" t="str">
        <x:v>待建整理表</x:v>
      </x:c>
      <x:c r="L21" s="25" t="str">
        <x:v>https://www.stats.gov.cn/</x:v>
      </x:c>
      <x:c r="M21" s="25" t="str">
        <x:v>按4个月领先关系构造豆粕需求指标</x:v>
      </x:c>
    </x:row>
    <x:row r="22">
      <x:c r="A22" s="25" t="str">
        <x:v>需求</x:v>
      </x:c>
      <x:c r="B22" s="25" t="str">
        <x:v>中国</x:v>
      </x:c>
      <x:c r="C22" s="25" t="str">
        <x:v>蛋鸡/肉鸡存栏</x:v>
      </x:c>
      <x:c r="D22" s="25" t="str">
        <x:v>月度</x:v>
      </x:c>
      <x:c r="E22" s="25" t="str">
        <x:v>自然月</x:v>
      </x:c>
      <x:c r="F22" s="25" t="str">
        <x:v>亿只</x:v>
      </x:c>
      <x:c r="G22" s="25" t="str">
        <x:v>行业协会/商业资讯商</x:v>
      </x:c>
      <x:c r="H22" s="31" t="str">
        <x:v>公开不足</x:v>
      </x:c>
      <x:c r="I22" s="22" t="str">
        <x:v>中</x:v>
      </x:c>
      <x:c r="J22" s="25" t="str">
        <x:v>官方连续月度长历史较难</x:v>
      </x:c>
      <x:c r="K22" s="25" t="str">
        <x:v>优先整理公开节点，缺口标记</x:v>
      </x:c>
      <x:c r="L22" s="25" t="str"/>
      <x:c r="M22" s="25" t="str">
        <x:v>课件蛋鸡存栏预测</x:v>
      </x:c>
    </x:row>
    <x:row r="23">
      <x:c r="A23" s="25" t="str">
        <x:v>库存</x:v>
      </x:c>
      <x:c r="B23" s="25" t="str">
        <x:v>全球/主产国</x:v>
      </x:c>
      <x:c r="C23" s="25" t="str">
        <x:v>大豆/豆粕/豆油期末库存</x:v>
      </x:c>
      <x:c r="D23" s="25" t="str">
        <x:v>年度</x:v>
      </x:c>
      <x:c r="E23" s="25" t="str">
        <x:v>市场年度</x:v>
      </x:c>
      <x:c r="F23" s="25" t="str">
        <x:v>千吨</x:v>
      </x:c>
      <x:c r="G23" s="25" t="str">
        <x:v>USDA PSD</x:v>
      </x:c>
      <x:c r="H23" s="28" t="str">
        <x:v>已落地</x:v>
      </x:c>
      <x:c r="I23" s="22" t="str">
        <x:v>高</x:v>
      </x:c>
      <x:c r="J23" s="25" t="str">
        <x:v>2000/01—2026/27已生成</x:v>
      </x:c>
      <x:c r="K23" s="25" t="str">
        <x:v>年度工作簿</x:v>
      </x:c>
      <x:c r="L23" s="25" t="str">
        <x:v>https://apps.fas.usda.gov/PSDOnline/app/index.html</x:v>
      </x:c>
      <x:c r="M23" s="25" t="str">
        <x:v>平衡表库存，不等于现货库存</x:v>
      </x:c>
    </x:row>
    <x:row r="24">
      <x:c r="A24" s="25" t="str">
        <x:v>库存</x:v>
      </x:c>
      <x:c r="B24" s="25" t="str">
        <x:v>中国</x:v>
      </x:c>
      <x:c r="C24" s="25" t="str">
        <x:v>大豆港口库存</x:v>
      </x:c>
      <x:c r="D24" s="25" t="str">
        <x:v>周度</x:v>
      </x:c>
      <x:c r="E24" s="25" t="str">
        <x:v>自然周</x:v>
      </x:c>
      <x:c r="F24" s="25" t="str">
        <x:v>万吨</x:v>
      </x:c>
      <x:c r="G24" s="25" t="str">
        <x:v>商业资讯商</x:v>
      </x:c>
      <x:c r="H24" s="31" t="str">
        <x:v>需商业授权</x:v>
      </x:c>
      <x:c r="I24" s="22" t="str">
        <x:v>高</x:v>
      </x:c>
      <x:c r="J24" s="25" t="str">
        <x:v>课件使用的油厂大豆库存可能为商业口径</x:v>
      </x:c>
      <x:c r="K24" s="25" t="str">
        <x:v>采购授权或逐日手工留档</x:v>
      </x:c>
      <x:c r="L24" s="25" t="str"/>
      <x:c r="M24" s="25" t="str">
        <x:v>不能用USDA期末库存替代</x:v>
      </x:c>
    </x:row>
    <x:row r="25">
      <x:c r="A25" s="25" t="str">
        <x:v>库存</x:v>
      </x:c>
      <x:c r="B25" s="25" t="str">
        <x:v>中国</x:v>
      </x:c>
      <x:c r="C25" s="25" t="str">
        <x:v>油厂豆粕库存</x:v>
      </x:c>
      <x:c r="D25" s="25" t="str">
        <x:v>周度</x:v>
      </x:c>
      <x:c r="E25" s="25" t="str">
        <x:v>自然周</x:v>
      </x:c>
      <x:c r="F25" s="25" t="str">
        <x:v>万吨</x:v>
      </x:c>
      <x:c r="G25" s="25" t="str">
        <x:v>商业资讯商</x:v>
      </x:c>
      <x:c r="H25" s="31" t="str">
        <x:v>需商业授权</x:v>
      </x:c>
      <x:c r="I25" s="22" t="str">
        <x:v>高</x:v>
      </x:c>
      <x:c r="J25" s="25" t="str">
        <x:v>长历史通常付费</x:v>
      </x:c>
      <x:c r="K25" s="25" t="str">
        <x:v>采购授权或逐日手工留档</x:v>
      </x:c>
      <x:c r="L25" s="25" t="str"/>
      <x:c r="M25" s="25" t="str">
        <x:v>短期供需压力核心</x:v>
      </x:c>
    </x:row>
    <x:row r="26">
      <x:c r="A26" s="25" t="str">
        <x:v>库存</x:v>
      </x:c>
      <x:c r="B26" s="25" t="str">
        <x:v>中国</x:v>
      </x:c>
      <x:c r="C26" s="25" t="str">
        <x:v>豆粕/豆油注册仓单</x:v>
      </x:c>
      <x:c r="D26" s="25" t="str">
        <x:v>日度</x:v>
      </x:c>
      <x:c r="E26" s="25" t="str">
        <x:v>交易日</x:v>
      </x:c>
      <x:c r="F26" s="25" t="str">
        <x:v>张/吨</x:v>
      </x:c>
      <x:c r="G26" s="25" t="str">
        <x:v>大连商品交易所</x:v>
      </x:c>
      <x:c r="H26" s="29" t="str">
        <x:v>官方公开可补</x:v>
      </x:c>
      <x:c r="I26" s="22" t="str">
        <x:v>中</x:v>
      </x:c>
      <x:c r="J26" s="25" t="str">
        <x:v>日度公开</x:v>
      </x:c>
      <x:c r="K26" s="25" t="str">
        <x:v>待建采集器</x:v>
      </x:c>
      <x:c r="L26" s="25" t="str">
        <x:v>https://www.dce.com.cn/</x:v>
      </x:c>
      <x:c r="M26" s="25" t="str">
        <x:v>仅代表可交割库存</x:v>
      </x:c>
    </x:row>
    <x:row r="27">
      <x:c r="A27" s="25" t="str">
        <x:v>价格</x:v>
      </x:c>
      <x:c r="B27" s="25" t="str">
        <x:v>中国</x:v>
      </x:c>
      <x:c r="C27" s="25" t="str">
        <x:v>豆粕/豆油期货结算价</x:v>
      </x:c>
      <x:c r="D27" s="25" t="str">
        <x:v>日度</x:v>
      </x:c>
      <x:c r="E27" s="25" t="str">
        <x:v>交易日</x:v>
      </x:c>
      <x:c r="F27" s="25" t="str">
        <x:v>元/吨</x:v>
      </x:c>
      <x:c r="G27" s="25" t="str">
        <x:v>大连商品交易所</x:v>
      </x:c>
      <x:c r="H27" s="29" t="str">
        <x:v>官方公开可补</x:v>
      </x:c>
      <x:c r="I27" s="22" t="str">
        <x:v>高</x:v>
      </x:c>
      <x:c r="J27" s="25" t="str">
        <x:v>历史行情公开</x:v>
      </x:c>
      <x:c r="K27" s="25" t="str">
        <x:v>待建采集器</x:v>
      </x:c>
      <x:c r="L27" s="25" t="str">
        <x:v>https://www.dce.com.cn/</x:v>
      </x:c>
      <x:c r="M27" s="25" t="str">
        <x:v>用于季节性和基差计算</x:v>
      </x:c>
    </x:row>
    <x:row r="28">
      <x:c r="A28" s="25" t="str">
        <x:v>价格</x:v>
      </x:c>
      <x:c r="B28" s="25" t="str">
        <x:v>美国</x:v>
      </x:c>
      <x:c r="C28" s="25" t="str">
        <x:v>CBOT大豆/豆粕/豆油期价</x:v>
      </x:c>
      <x:c r="D28" s="25" t="str">
        <x:v>日度</x:v>
      </x:c>
      <x:c r="E28" s="25" t="str">
        <x:v>交易日</x:v>
      </x:c>
      <x:c r="F28" s="25" t="str">
        <x:v>美分/蒲式耳、美元/短吨</x:v>
      </x:c>
      <x:c r="G28" s="25" t="str">
        <x:v>CME/授权行情</x:v>
      </x:c>
      <x:c r="H28" s="31" t="str">
        <x:v>需确认行情授权</x:v>
      </x:c>
      <x:c r="I28" s="22" t="str">
        <x:v>高</x:v>
      </x:c>
      <x:c r="J28" s="25" t="str">
        <x:v>延迟行情公开，批量历史需注意许可</x:v>
      </x:c>
      <x:c r="K28" s="25" t="str">
        <x:v>确定许可后接入</x:v>
      </x:c>
      <x:c r="L28" s="25" t="str">
        <x:v>https://www.cmegroup.com/markets/agriculture/oilseeds.html</x:v>
      </x:c>
      <x:c r="M28" s="25" t="str">
        <x:v>进口成本与油粕比</x:v>
      </x:c>
    </x:row>
    <x:row r="29">
      <x:c r="A29" s="25" t="str">
        <x:v>价格</x:v>
      </x:c>
      <x:c r="B29" s="25" t="str">
        <x:v>中国</x:v>
      </x:c>
      <x:c r="C29" s="25" t="str">
        <x:v>豆粕现货价</x:v>
      </x:c>
      <x:c r="D29" s="25" t="str">
        <x:v>日度</x:v>
      </x:c>
      <x:c r="E29" s="25" t="str">
        <x:v>自然日</x:v>
      </x:c>
      <x:c r="F29" s="25" t="str">
        <x:v>元/吨</x:v>
      </x:c>
      <x:c r="G29" s="25" t="str">
        <x:v>商业资讯商/地区报价</x:v>
      </x:c>
      <x:c r="H29" s="31" t="str">
        <x:v>需商业授权</x:v>
      </x:c>
      <x:c r="I29" s="22" t="str">
        <x:v>高</x:v>
      </x:c>
      <x:c r="J29" s="25" t="str">
        <x:v>统一口径的长历史较难免费获得</x:v>
      </x:c>
      <x:c r="K29" s="25" t="str">
        <x:v>选择固定地区与报价时点</x:v>
      </x:c>
      <x:c r="L29" s="25" t="str"/>
      <x:c r="M29" s="25" t="str">
        <x:v>基差必要输入</x:v>
      </x:c>
    </x:row>
    <x:row r="30">
      <x:c r="A30" s="25" t="str">
        <x:v>价差</x:v>
      </x:c>
      <x:c r="B30" s="25" t="str">
        <x:v>中国</x:v>
      </x:c>
      <x:c r="C30" s="25" t="str">
        <x:v>豆粕基差</x:v>
      </x:c>
      <x:c r="D30" s="25" t="str">
        <x:v>日度</x:v>
      </x:c>
      <x:c r="E30" s="25" t="str">
        <x:v>交易日</x:v>
      </x:c>
      <x:c r="F30" s="25" t="str">
        <x:v>元/吨</x:v>
      </x:c>
      <x:c r="G30" s="25" t="str">
        <x:v>现货价-期货价</x:v>
      </x:c>
      <x:c r="H30" s="30" t="str">
        <x:v>派生项（待输入）</x:v>
      </x:c>
      <x:c r="I30" s="22" t="str">
        <x:v>高</x:v>
      </x:c>
      <x:c r="J30" s="25" t="str">
        <x:v>需先补齐同地区现货和对应合约</x:v>
      </x:c>
      <x:c r="K30" s="25" t="str">
        <x:v>公式计算并保留换月规则</x:v>
      </x:c>
      <x:c r="L30" s="25" t="str"/>
      <x:c r="M30" s="25" t="str">
        <x:v>课件26—28页</x:v>
      </x:c>
    </x:row>
    <x:row r="31">
      <x:c r="A31" s="25" t="str">
        <x:v>成本利润</x:v>
      </x:c>
      <x:c r="B31" s="25" t="str">
        <x:v>中国</x:v>
      </x:c>
      <x:c r="C31" s="25" t="str">
        <x:v>进口大豆压榨利润</x:v>
      </x:c>
      <x:c r="D31" s="25" t="str">
        <x:v>日度/周度</x:v>
      </x:c>
      <x:c r="E31" s="25" t="str">
        <x:v>交易日</x:v>
      </x:c>
      <x:c r="F31" s="25" t="str">
        <x:v>元/吨</x:v>
      </x:c>
      <x:c r="G31" s="25" t="str">
        <x:v>CBOT+汇率+升贴水+关税+港杂+豆粕豆油价</x:v>
      </x:c>
      <x:c r="H31" s="30" t="str">
        <x:v>派生项（部分缺输入）</x:v>
      </x:c>
      <x:c r="I31" s="22" t="str">
        <x:v>高</x:v>
      </x:c>
      <x:c r="J31" s="25" t="str">
        <x:v>期价/汇率可得，升贴水和港口现货需稳定源</x:v>
      </x:c>
      <x:c r="K31" s="25" t="str">
        <x:v>先建公式模板，后补商业输入</x:v>
      </x:c>
      <x:c r="L31" s="25" t="str"/>
      <x:c r="M31" s="25" t="str">
        <x:v>课件20页</x:v>
      </x:c>
    </x:row>
    <x:row r="32">
      <x:c r="A32" s="25" t="str">
        <x:v>成本利润</x:v>
      </x:c>
      <x:c r="B32" s="25" t="str">
        <x:v>中国</x:v>
      </x:c>
      <x:c r="C32" s="25" t="str">
        <x:v>豆粕理论保本价</x:v>
      </x:c>
      <x:c r="D32" s="25" t="str">
        <x:v>日度</x:v>
      </x:c>
      <x:c r="E32" s="25" t="str">
        <x:v>交易日</x:v>
      </x:c>
      <x:c r="F32" s="25" t="str">
        <x:v>元/吨</x:v>
      </x:c>
      <x:c r="G32" s="25" t="str">
        <x:v>进口大豆成本+动态油粕比</x:v>
      </x:c>
      <x:c r="H32" s="30" t="str">
        <x:v>派生项（部分缺输入）</x:v>
      </x:c>
      <x:c r="I32" s="22" t="str">
        <x:v>高</x:v>
      </x:c>
      <x:c r="J32" s="25" t="str">
        <x:v>需统一油粕出率、损耗和费用假设</x:v>
      </x:c>
      <x:c r="K32" s="25" t="str">
        <x:v>建立可审计公式</x:v>
      </x:c>
      <x:c r="L32" s="25" t="str"/>
      <x:c r="M32" s="25" t="str">
        <x:v>课件26页</x:v>
      </x:c>
    </x:row>
    <x:row r="33">
      <x:c r="A33" s="25" t="str">
        <x:v>季节性</x:v>
      </x:c>
      <x:c r="B33" s="25" t="str">
        <x:v>中国</x:v>
      </x:c>
      <x:c r="C33" s="25" t="str">
        <x:v>豆粕期价/现价/基差月度季节性</x:v>
      </x:c>
      <x:c r="D33" s="25" t="str">
        <x:v>月度统计</x:v>
      </x:c>
      <x:c r="E33" s="25" t="str">
        <x:v>自然月</x:v>
      </x:c>
      <x:c r="F33" s="25" t="str">
        <x:v>%、元/吨</x:v>
      </x:c>
      <x:c r="G33" s="25" t="str">
        <x:v>日度价格派生</x:v>
      </x:c>
      <x:c r="H33" s="30" t="str">
        <x:v>派生项（待输入）</x:v>
      </x:c>
      <x:c r="I33" s="22" t="str">
        <x:v>中</x:v>
      </x:c>
      <x:c r="J33" s="25" t="str">
        <x:v>日度历史完成后自动生成</x:v>
      </x:c>
      <x:c r="K33" s="25" t="str">
        <x:v>计算月均涨跌与上涨概率</x:v>
      </x:c>
      <x:c r="L33" s="25" t="str"/>
      <x:c r="M33" s="25" t="str">
        <x:v>课件27—28页</x:v>
      </x:c>
    </x:row>
    <x:row r="34">
      <x:c r="A34" s="26" t="str">
        <x:v>跨品种</x:v>
      </x:c>
      <x:c r="B34" s="26" t="str">
        <x:v>全球</x:v>
      </x:c>
      <x:c r="C34" s="26" t="str">
        <x:v>7类油籽产量/进口/出口/压榨占比</x:v>
      </x:c>
      <x:c r="D34" s="26" t="str">
        <x:v>年度</x:v>
      </x:c>
      <x:c r="E34" s="26" t="str">
        <x:v>市场年度</x:v>
      </x:c>
      <x:c r="F34" s="26" t="str">
        <x:v>千吨、%</x:v>
      </x:c>
      <x:c r="G34" s="26" t="str">
        <x:v>USDA PSD油籽快照</x:v>
      </x:c>
      <x:c r="H34" s="32" t="str">
        <x:v>已重算</x:v>
      </x:c>
      <x:c r="I34" s="23" t="str">
        <x:v>中</x:v>
      </x:c>
      <x:c r="J34" s="26" t="str">
        <x:v>本工作簿含2022/23当前快照重算</x:v>
      </x:c>
      <x:c r="K34" s="26" t="str">
        <x:v>可扩展至全历史</x:v>
      </x:c>
      <x:c r="L34" s="26" t="str">
        <x:v>https://apps.fas.usda.gov/PSDOnline/app/index.html</x:v>
      </x:c>
      <x:c r="M34" s="26" t="str">
        <x:v>对应课件第3页；后续修订会与原课件略有差异</x:v>
      </x:c>
    </x:row>
  </x:sheetData>
  <x:mergeCells>
    <x:mergeCell ref="A1:M1"/>
    <x:mergeCell ref="A2:M2"/>
  </x:mergeCells>
  <x:pageMargins left="0.7" right="0.7" top="0.75" bottom="0.75" header="0.3" footer="0.3"/>
  <x:tableParts count="1">
    <x:tablePart xmlns:r="http://schemas.openxmlformats.org/officeDocument/2006/relationships" r:id="R611a4808e689495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</x:cols>
  <x:sheetData>
    <x:row r="1" ht="28" customHeight="1">
      <x:c r="A1" s="2" t="str">
        <x:v>全球7类油籽分布重算｜2022/23</x:v>
      </x:c>
      <x:c r="B1" s="2"/>
      <x:c r="C1" s="2"/>
      <x:c r="D1" s="2"/>
      <x:c r="E1" s="2"/>
      <x:c r="F1" s="2"/>
      <x:c r="G1" s="2"/>
      <x:c r="H1" s="2"/>
      <x:c r="I1" s="2"/>
    </x:row>
    <x:row r="2" ht="34" customHeight="1">
      <x:c r="A2" s="5" t="str">
        <x:v>按本地 USDA PSD 2026-07-10 快照逐国汇总；单位为百万吨。与2023课件数字的小幅差异来自后续历史修订。</x:v>
      </x:c>
      <x:c r="B2" s="5"/>
      <x:c r="C2" s="5"/>
      <x:c r="D2" s="5"/>
      <x:c r="E2" s="5"/>
      <x:c r="F2" s="5"/>
      <x:c r="G2" s="5"/>
      <x:c r="H2" s="5"/>
      <x:c r="I2" s="5"/>
    </x:row>
    <x:row r="4">
      <x:c r="A4" s="7" t="str">
        <x:v>品种</x:v>
      </x:c>
      <x:c r="B4" s="7" t="str">
        <x:v>产量</x:v>
      </x:c>
      <x:c r="C4" s="7" t="str">
        <x:v>产量占比</x:v>
      </x:c>
      <x:c r="D4" s="7" t="str">
        <x:v>出口</x:v>
      </x:c>
      <x:c r="E4" s="7" t="str">
        <x:v>出口占比</x:v>
      </x:c>
      <x:c r="F4" s="7" t="str">
        <x:v>进口</x:v>
      </x:c>
      <x:c r="G4" s="7" t="str">
        <x:v>进口占比</x:v>
      </x:c>
      <x:c r="H4" s="7" t="str">
        <x:v>压榨</x:v>
      </x:c>
      <x:c r="I4" s="7" t="str">
        <x:v>压榨占比</x:v>
      </x:c>
    </x:row>
    <x:row r="5">
      <x:c r="A5" t="str">
        <x:v>大豆</x:v>
      </x:c>
      <x:c r="B5" s="55" t="n">
        <x:v>378.21</x:v>
      </x:c>
      <x:c r="C5" s="57" t="n">
        <x:f>B5/$B$12</x:f>
        <x:v>0.5939292674385553</x:v>
      </x:c>
      <x:c r="D5" s="55" t="n">
        <x:v>171.758</x:v>
      </x:c>
      <x:c r="E5" s="57" t="n">
        <x:f>D5/$D$12</x:f>
        <x:v>0.8516362554541848</x:v>
      </x:c>
      <x:c r="F5" s="55" t="n">
        <x:v>168.502</x:v>
      </x:c>
      <x:c r="G5" s="57" t="n">
        <x:f>F5/$F$12</x:f>
        <x:v>0.8505133304394349</x:v>
      </x:c>
      <x:c r="H5" s="55" t="n">
        <x:v>315.767</x:v>
      </x:c>
      <x:c r="I5" s="57" t="n">
        <x:f>H5/$H$12</x:f>
        <x:v>0.602381161316907</x:v>
      </x:c>
    </x:row>
    <x:row r="6">
      <x:c r="A6" t="str">
        <x:v>花生</x:v>
      </x:c>
      <x:c r="B6" s="55" t="n">
        <x:v>49.814</x:v>
      </x:c>
      <x:c r="C6" s="57" t="n">
        <x:f>B6/$B$12</x:f>
        <x:v>0.07822636241290341</x:v>
      </x:c>
      <x:c r="D6" s="55" t="n">
        <x:v>4.853</x:v>
      </x:c>
      <x:c r="E6" s="57" t="n">
        <x:f>D6/$D$12</x:f>
        <x:v>0.02406287187623958</x:v>
      </x:c>
      <x:c r="F6" s="55" t="n">
        <x:v>4.179</x:v>
      </x:c>
      <x:c r="G6" s="57" t="n">
        <x:f>F6/$F$12</x:f>
        <x:v>0.021093489738438703</x:v>
      </x:c>
      <x:c r="H6" s="55" t="n">
        <x:v>19.076</x:v>
      </x:c>
      <x:c r="I6" s="57" t="n">
        <x:f>H6/$H$12</x:f>
        <x:v>0.036390829419417854</x:v>
      </x:c>
    </x:row>
    <x:row r="7">
      <x:c r="A7" t="str">
        <x:v>棉籽</x:v>
      </x:c>
      <x:c r="B7" s="55" t="n">
        <x:v>40.313</x:v>
      </x:c>
      <x:c r="C7" s="57" t="n">
        <x:f>B7/$B$12</x:f>
        <x:v>0.06330628634422804</x:v>
      </x:c>
      <x:c r="D7" s="55" t="n">
        <x:v>1.091</x:v>
      </x:c>
      <x:c r="E7" s="57" t="n">
        <x:f>D7/$D$12</x:f>
        <x:v>0.005409559698532327</x:v>
      </x:c>
      <x:c r="F7" s="55" t="n">
        <x:v>1.366</x:v>
      </x:c>
      <x:c r="G7" s="57" t="n">
        <x:f>F7/$F$12</x:f>
        <x:v>0.006894880828597097</x:v>
      </x:c>
      <x:c r="H7" s="55" t="n">
        <x:v>30.216</x:v>
      </x:c>
      <x:c r="I7" s="57" t="n">
        <x:f>H7/$H$12</x:f>
        <x:v>0.05764234125273275</x:v>
      </x:c>
    </x:row>
    <x:row r="8">
      <x:c r="A8" t="str">
        <x:v>葵花籽</x:v>
      </x:c>
      <x:c r="B8" s="55" t="n">
        <x:v>52.776</x:v>
      </x:c>
      <x:c r="C8" s="57" t="n">
        <x:f>B8/$B$12</x:f>
        <x:v>0.08287779545315355</x:v>
      </x:c>
      <x:c r="D8" s="55" t="n">
        <x:v>4.017</x:v>
      </x:c>
      <x:c r="E8" s="57" t="n">
        <x:f>D8/$D$12</x:f>
        <x:v>0.019917691392304638</x:v>
      </x:c>
      <x:c r="F8" s="55" t="n">
        <x:v>3.769</x:v>
      </x:c>
      <x:c r="G8" s="57" t="n">
        <x:f>F8/$F$12</x:f>
        <x:v>0.019024015990470322</x:v>
      </x:c>
      <x:c r="H8" s="55" t="n">
        <x:v>51.359</x:v>
      </x:c>
      <x:c r="I8" s="57" t="n">
        <x:f>H8/$H$12</x:f>
        <x:v>0.0979763371855673</x:v>
      </x:c>
    </x:row>
    <x:row r="9">
      <x:c r="A9" t="str">
        <x:v>菜籽</x:v>
      </x:c>
      <x:c r="B9" s="55" t="n">
        <x:v>89.858</x:v>
      </x:c>
      <x:c r="C9" s="57" t="n">
        <x:f>B9/$B$12</x:f>
        <x:v>0.14111021949047808</x:v>
      </x:c>
      <x:c r="D9" s="55" t="n">
        <x:v>19.8</x:v>
      </x:c>
      <x:c r="E9" s="57" t="n">
        <x:f>D9/$D$12</x:f>
        <x:v>0.09817532725109082</x:v>
      </x:c>
      <x:c r="F9" s="55" t="n">
        <x:v>20.065</x:v>
      </x:c>
      <x:c r="G9" s="57" t="n">
        <x:f>F9/$F$12</x:f>
        <x:v>0.10127802622679412</x:v>
      </x:c>
      <x:c r="H9" s="55" t="n">
        <x:v>82.107</x:v>
      </x:c>
      <x:c r="I9" s="57" t="n">
        <x:f>H9/$H$12</x:f>
        <x:v>0.1566335621272878</x:v>
      </x:c>
    </x:row>
    <x:row r="10">
      <x:c r="A10" t="str">
        <x:v>椰肉干</x:v>
      </x:c>
      <x:c r="B10" s="55" t="n">
        <x:v>6.047</x:v>
      </x:c>
      <x:c r="C10" s="57" t="n">
        <x:f>B10/$B$12</x:f>
        <x:v>0.009496021470085254</x:v>
      </x:c>
      <x:c r="D10" s="55" t="n">
        <x:v>0.101</x:v>
      </x:c>
      <x:c r="E10" s="57" t="n">
        <x:f>D10/$D$12</x:f>
        <x:v>0.0005007933359777865</x:v>
      </x:c>
      <x:c r="F10" s="55" t="n">
        <x:v>0.08</x:v>
      </x:c>
      <x:c r="G10" s="57" t="n">
        <x:f>F10/$F$12</x:f>
        <x:v>0.0004037997557011477</x:v>
      </x:c>
      <x:c r="H10" s="55" t="n">
        <x:v>5.903</x:v>
      </x:c>
      <x:c r="I10" s="57" t="n">
        <x:f>H10/$H$12</x:f>
        <x:v>0.011261012060328349</x:v>
      </x:c>
    </x:row>
    <x:row r="11">
      <x:c r="A11" t="str">
        <x:v>棕榈仁</x:v>
      </x:c>
      <x:c r="B11" s="55" t="n">
        <x:v>19.775</x:v>
      </x:c>
      <x:c r="C11" s="57" t="n">
        <x:f>B11/$B$12</x:f>
        <x:v>0.031054047390596314</x:v>
      </x:c>
      <x:c r="D11" s="55" t="n">
        <x:v>0.06</x:v>
      </x:c>
      <x:c r="E11" s="57" t="n">
        <x:f>D11/$D$12</x:f>
        <x:v>0.0002975009916699722</x:v>
      </x:c>
      <x:c r="F11" s="55" t="n">
        <x:v>0.157</x:v>
      </x:c>
      <x:c r="G11" s="57" t="n">
        <x:f>F11/$F$12</x:f>
        <x:v>0.0007924570205635024</x:v>
      </x:c>
      <x:c r="H11" s="55" t="n">
        <x:v>19.77</x:v>
      </x:c>
      <x:c r="I11" s="57" t="n">
        <x:f>H11/$H$12</x:f>
        <x:v>0.037714756637759014</x:v>
      </x:c>
    </x:row>
    <x:row r="12">
      <x:c r="A12" s="54" t="str">
        <x:v>合计</x:v>
      </x:c>
      <x:c r="B12" s="56" t="n">
        <x:f>SUM(B5:B11)</x:f>
        <x:v>636.793</x:v>
      </x:c>
      <x:c r="C12" s="58" t="n">
        <x:f>SUM(C5:C11)</x:f>
        <x:v>1</x:v>
      </x:c>
      <x:c r="D12" s="56" t="n">
        <x:f>SUM(D5:D11)</x:f>
        <x:v>201.68000000000004</x:v>
      </x:c>
      <x:c r="E12" s="58" t="n">
        <x:f>SUM(E5:E11)</x:f>
        <x:v>0.9999999999999997</x:v>
      </x:c>
      <x:c r="F12" s="56" t="n">
        <x:f>SUM(F5:F11)</x:f>
        <x:v>198.11800000000005</x:v>
      </x:c>
      <x:c r="G12" s="58" t="n">
        <x:f>SUM(G5:G11)</x:f>
        <x:v>0.9999999999999999</x:v>
      </x:c>
      <x:c r="H12" s="56" t="n">
        <x:f>SUM(H5:H11)</x:f>
        <x:v>524.198</x:v>
      </x:c>
      <x:c r="I12" s="58" t="n">
        <x:f>SUM(I5:I11)</x:f>
        <x:v>1</x:v>
      </x:c>
    </x:row>
    <x:row r="15">
      <x:c r="A15" s="60" t="str">
        <x:v>来源：https://apps.fas.usda.gov/PSDOnline/app/index.html ｜ 本地文件：data/raw/psd/2026-07-10/psd_oilseeds.csv</x:v>
      </x:c>
      <x:c r="B15" s="60"/>
      <x:c r="C15" s="60"/>
      <x:c r="D15" s="60"/>
      <x:c r="E15" s="60"/>
      <x:c r="F15" s="60"/>
      <x:c r="G15" s="60"/>
      <x:c r="H15" s="60"/>
      <x:c r="I15" s="60"/>
    </x:row>
  </x:sheetData>
  <x:mergeCells>
    <x:mergeCell ref="A1:I1"/>
    <x:mergeCell ref="A2:I2"/>
    <x:mergeCell ref="A15:I15"/>
  </x:mergeCells>
  <x:pageMargins left="0.7" right="0.7" top="0.75" bottom="0.75" header="0.3" footer="0.3"/>
  <x:tableParts count="1">
    <x:tablePart xmlns:r="http://schemas.openxmlformats.org/officeDocument/2006/relationships" r:id="Re8bc335275a244a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52" hidden="0" customWidth="1"/>
    <x:col min="3" max="3" width="48" hidden="0" customWidth="1"/>
    <x:col min="4" max="4" width="18" hidden="0" customWidth="1"/>
    <x:col min="5" max="5" width="18" hidden="0" customWidth="1"/>
    <x:col min="6" max="6" width="42" hidden="0" customWidth="1"/>
  </x:cols>
  <x:sheetData>
    <x:row r="1" ht="28" customHeight="1">
      <x:c r="A1" s="2" t="str">
        <x:v>已有数据资产清单</x:v>
      </x:c>
      <x:c r="B1" s="2"/>
      <x:c r="C1" s="2"/>
      <x:c r="D1" s="2"/>
      <x:c r="E1" s="2"/>
      <x:c r="F1" s="2"/>
    </x:row>
    <x:row r="2" ht="32" customHeight="1">
      <x:c r="A2" s="5" t="str">
        <x:v>本项目已经具备年度底座；后续重点是中国官方月度数据和高频商业数据。</x:v>
      </x:c>
      <x:c r="B2" s="5"/>
      <x:c r="C2" s="5"/>
      <x:c r="D2" s="5"/>
      <x:c r="E2" s="5"/>
      <x:c r="F2" s="5"/>
    </x:row>
    <x:row r="4">
      <x:c r="A4" s="7" t="str">
        <x:v>资产</x:v>
      </x:c>
      <x:c r="B4" s="7" t="str">
        <x:v>位置/表</x:v>
      </x:c>
      <x:c r="C4" s="7" t="str">
        <x:v>覆盖</x:v>
      </x:c>
      <x:c r="D4" s="7" t="str">
        <x:v>最新快照</x:v>
      </x:c>
      <x:c r="E4" s="7" t="str">
        <x:v>状态</x:v>
      </x:c>
      <x:c r="F4" s="7" t="str">
        <x:v>说明</x:v>
      </x:c>
    </x:row>
    <x:row r="5">
      <x:c r="A5" s="24" t="str">
        <x:v>USDA PSD SQLite</x:v>
      </x:c>
      <x:c r="B5" s="24" t="str">
        <x:v>data/soybean.sqlite3 / psd_observations</x:v>
      </x:c>
      <x:c r="C5" s="24" t="str">
        <x:v>49,504行；13指标；98国家/地区；1964—2026市场年度</x:v>
      </x:c>
      <x:c r="D5" s="24" t="str">
        <x:v>2026-07-10</x:v>
      </x:c>
      <x:c r="E5" s="24" t="str">
        <x:v>可直接查询</x:v>
      </x:c>
      <x:c r="F5" s="24" t="str">
        <x:v>当前SQLite只过滤大豆；豆粕豆油保留在原始油籽CSV和年度工作簿</x:v>
      </x:c>
    </x:row>
    <x:row r="6">
      <x:c r="A6" s="25" t="str">
        <x:v>USDA WASDE SQLite</x:v>
      </x:c>
      <x:c r="B6" s="25" t="str">
        <x:v>data/soybean.sqlite3 / wasde_observations</x:v>
      </x:c>
      <x:c r="C6" s="25" t="str">
        <x:v>23,070行；66个发布文件；2021-01至2026-07</x:v>
      </x:c>
      <x:c r="D6" s="25" t="str">
        <x:v>2026-07-10</x:v>
      </x:c>
      <x:c r="E6" s="25" t="str">
        <x:v>可直接查询</x:v>
      </x:c>
      <x:c r="F6" s="25" t="str">
        <x:v>保留月度发布时点，适合计算预测修订</x:v>
      </x:c>
    </x:row>
    <x:row r="7">
      <x:c r="A7" s="25" t="str">
        <x:v>USDA PSD 原始快照</x:v>
      </x:c>
      <x:c r="B7" s="25" t="str">
        <x:v>data/raw/psd/2026-07-10/psd_oilseeds.csv</x:v>
      </x:c>
      <x:c r="C7" s="25" t="str">
        <x:v>完整油籽品种与各国年度字段</x:v>
      </x:c>
      <x:c r="D7" s="25" t="str">
        <x:v>2026-07-10</x:v>
      </x:c>
      <x:c r="E7" s="25" t="str">
        <x:v>可直接重算</x:v>
      </x:c>
      <x:c r="F7" s="25" t="str">
        <x:v>本工作簿油料分布来自该文件</x:v>
      </x:c>
    </x:row>
    <x:row r="8">
      <x:c r="A8" s="25" t="str">
        <x:v>WASDE 原始文件</x:v>
      </x:c>
      <x:c r="B8" s="25" t="str">
        <x:v>data/raw/wasde/2021—2026/</x:v>
      </x:c>
      <x:c r="C8" s="25" t="str">
        <x:v>66个月度CSV</x:v>
      </x:c>
      <x:c r="D8" s="25" t="str">
        <x:v>2026-07-10</x:v>
      </x:c>
      <x:c r="E8" s="25" t="str">
        <x:v>可追溯</x:v>
      </x:c>
      <x:c r="F8" s="25" t="str">
        <x:v>个别月份使用V2勘误版</x:v>
      </x:c>
    </x:row>
    <x:row r="9">
      <x:c r="A9" s="25" t="str">
        <x:v>大豆产业链年度Excel</x:v>
      </x:c>
      <x:c r="B9" s="25" t="str">
        <x:v>outputs/019fb850-5ee3-7ad3-990e-1152fd468556/大豆产业链_2000年以来年度数据.xlsx</x:v>
      </x:c>
      <x:c r="C9" s="25" t="str">
        <x:v>6张表；大豆、豆粕、豆油；2000/01—2026/27；4,320条PSD明细</x:v>
      </x:c>
      <x:c r="D9" s="25" t="str">
        <x:v>2026-07-10</x:v>
      </x:c>
      <x:c r="E9" s="25" t="str">
        <x:v>可直接使用</x:v>
      </x:c>
      <x:c r="F9" s="25" t="str">
        <x:v>含总览和数据说明</x:v>
      </x:c>
    </x:row>
    <x:row r="10">
      <x:c r="A10" s="25" t="str">
        <x:v>宏观月报</x:v>
      </x:c>
      <x:c r="B10" s="25" t="str">
        <x:v>reports/soybean_macro_2026-07-29.md</x:v>
      </x:c>
      <x:c r="C10" s="25" t="str">
        <x:v>年度变化 + WASDE月度修订</x:v>
      </x:c>
      <x:c r="D10" s="25" t="str">
        <x:v>2026-07-29</x:v>
      </x:c>
      <x:c r="E10" s="25" t="str">
        <x:v>可直接阅读</x:v>
      </x:c>
      <x:c r="F10" s="25" t="str">
        <x:v>由数据库生成</x:v>
      </x:c>
    </x:row>
    <x:row r="11">
      <x:c r="A11" s="25" t="str">
        <x:v>数据采集与报告代码</x:v>
      </x:c>
      <x:c r="B11" s="25" t="str">
        <x:v>soybean_report/</x:v>
      </x:c>
      <x:c r="C11" s="25" t="str">
        <x:v>PSD/WASDE同步、SQLite入库、报告生成</x:v>
      </x:c>
      <x:c r="D11" s="25" t="str">
        <x:v>当前版本</x:v>
      </x:c>
      <x:c r="E11" s="25" t="str">
        <x:v>可重复运行</x:v>
      </x:c>
      <x:c r="F11" s="25" t="str">
        <x:v>python3 -m soybean_report run</x:v>
      </x:c>
    </x:row>
    <x:row r="12">
      <x:c r="A12" s="26" t="str">
        <x:v>自动化测试</x:v>
      </x:c>
      <x:c r="B12" s="26" t="str">
        <x:v>tests/</x:v>
      </x:c>
      <x:c r="C12" s="26" t="str">
        <x:v>3项测试全部通过</x:v>
      </x:c>
      <x:c r="D12" s="26" t="str">
        <x:v>本次验证</x:v>
      </x:c>
      <x:c r="E12" s="26" t="str">
        <x:v>通过</x:v>
      </x:c>
      <x:c r="F12" s="26" t="str">
        <x:v>幂等导入、V2文件名、报告内容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a66ea5d4b2de4138"/>
  </x:tableParts>
</x:worksheet>
</file>