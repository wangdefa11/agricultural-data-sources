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使用说明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数据源与口径" sheetId="3" state="visible" r:id="rId3"/>
    <sheet xmlns:r="http://schemas.openxmlformats.org/officeDocument/2006/relationships" name="01全球油籽年度" sheetId="4" state="visible" r:id="rId4"/>
    <sheet xmlns:r="http://schemas.openxmlformats.org/officeDocument/2006/relationships" name="02大豆主产国年度" sheetId="5" state="visible" r:id="rId5"/>
    <sheet xmlns:r="http://schemas.openxmlformats.org/officeDocument/2006/relationships" name="03中国进口月度" sheetId="6" state="visible" r:id="rId6"/>
    <sheet xmlns:r="http://schemas.openxmlformats.org/officeDocument/2006/relationships" name="04压榨库存月度" sheetId="7" state="visible" r:id="rId7"/>
    <sheet xmlns:r="http://schemas.openxmlformats.org/officeDocument/2006/relationships" name="05饲料月度" sheetId="8" state="visible" r:id="rId8"/>
    <sheet xmlns:r="http://schemas.openxmlformats.org/officeDocument/2006/relationships" name="06养殖月度" sheetId="9" state="visible" r:id="rId9"/>
    <sheet xmlns:r="http://schemas.openxmlformats.org/officeDocument/2006/relationships" name="07价格基差月度" sheetId="10" state="visible" r:id="rId10"/>
    <sheet xmlns:r="http://schemas.openxmlformats.org/officeDocument/2006/relationships" name="08成本利润月度" sheetId="11" state="visible" r:id="rId11"/>
  </sheets>
  <definedNames/>
</workbook>
</file>

<file path=xl/styles.xml><?xml version="1.0" encoding="utf-8"?>
<styleSheet xmlns="http://schemas.openxmlformats.org/spreadsheetml/2006/main">
  <numFmts count="5">
    <numFmt numFmtId="164" formatCode="yyyy-mm"/>
    <numFmt numFmtId="165" formatCode="#,##0.0"/>
    <numFmt numFmtId="166" formatCode="0.0%"/>
    <numFmt numFmtId="167" formatCode="yyyy-mm-dd"/>
    <numFmt numFmtId="168" formatCode="yyyy-mm-dd h:mm:ss"/>
  </numFmts>
  <fonts count="7">
    <font>
      <name val="Carlito"/>
      <sz val="11"/>
    </font>
    <font>
      <name val="Microsoft YaHei"/>
      <b val="1"/>
      <color rgb="FFFFFFFF"/>
      <sz val="17"/>
    </font>
    <font>
      <name val="Microsoft YaHei"/>
      <b val="1"/>
      <color rgb="FFFFFFFF"/>
      <sz val="10"/>
    </font>
    <font>
      <name val="Microsoft YaHei"/>
      <color rgb="FF222222"/>
      <sz val="10"/>
    </font>
    <font>
      <name val="Microsoft YaHei"/>
      <color rgb="FF222222"/>
      <sz val="9"/>
    </font>
    <font>
      <name val="Microsoft YaHei"/>
      <i val="1"/>
      <color rgb="FF9C0006"/>
      <sz val="9"/>
    </font>
    <font>
      <name val="Microsoft YaHei"/>
      <color rgb="FF0070C0"/>
      <sz val="9"/>
    </font>
  </fonts>
  <fills count="6">
    <fill>
      <patternFill/>
    </fill>
    <fill>
      <patternFill patternType="gray125"/>
    </fill>
    <fill>
      <patternFill patternType="solid">
        <fgColor rgb="FFD71900"/>
      </patternFill>
    </fill>
    <fill>
      <patternFill patternType="solid">
        <fgColor rgb="FFFCE4DD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2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3" fillId="0" borderId="6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3" fillId="0" borderId="8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4" fillId="0" borderId="0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0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0" fontId="4" fillId="0" borderId="1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4" fillId="0" borderId="6" applyAlignment="1" pivotButton="0" quotePrefix="0" xfId="0">
      <alignment wrapText="1"/>
    </xf>
    <xf numFmtId="0" fontId="4" fillId="0" borderId="7" applyAlignment="1" pivotButton="0" quotePrefix="0" xfId="0">
      <alignment wrapText="1"/>
    </xf>
    <xf numFmtId="0" fontId="4" fillId="0" borderId="8" applyAlignment="1" pivotButton="0" quotePrefix="0" xfId="0">
      <alignment wrapText="1"/>
    </xf>
    <xf numFmtId="0" fontId="4" fillId="0" borderId="9" applyAlignment="1" pivotButton="0" quotePrefix="0" xfId="0">
      <alignment wrapText="1"/>
    </xf>
    <xf numFmtId="0" fontId="0" fillId="3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6" fillId="4" borderId="0" pivotButton="0" quotePrefix="0" xfId="0"/>
    <xf numFmtId="0" fontId="6" fillId="4" borderId="0" applyAlignment="1" pivotButton="0" quotePrefix="0" xfId="0">
      <alignment wrapText="1"/>
    </xf>
    <xf numFmtId="0" fontId="6" fillId="4" borderId="10" applyAlignment="1" pivotButton="0" quotePrefix="0" xfId="0">
      <alignment wrapText="1"/>
    </xf>
    <xf numFmtId="0" fontId="6" fillId="4" borderId="11" applyAlignment="1" pivotButton="0" quotePrefix="0" xfId="0">
      <alignment wrapText="1"/>
    </xf>
    <xf numFmtId="164" fontId="6" fillId="4" borderId="10" applyAlignment="1" pivotButton="0" quotePrefix="0" xfId="0">
      <alignment wrapText="1"/>
    </xf>
    <xf numFmtId="164" fontId="6" fillId="4" borderId="11" applyAlignment="1" pivotButton="0" quotePrefix="0" xfId="0">
      <alignment wrapText="1"/>
    </xf>
    <xf numFmtId="165" fontId="6" fillId="4" borderId="10" applyAlignment="1" pivotButton="0" quotePrefix="0" xfId="0">
      <alignment wrapText="1"/>
    </xf>
    <xf numFmtId="165" fontId="6" fillId="4" borderId="11" applyAlignment="1" pivotButton="0" quotePrefix="0" xfId="0">
      <alignment wrapText="1"/>
    </xf>
    <xf numFmtId="0" fontId="6" fillId="5" borderId="10" applyAlignment="1" pivotButton="0" quotePrefix="0" xfId="0">
      <alignment wrapText="1"/>
    </xf>
    <xf numFmtId="0" fontId="6" fillId="5" borderId="11" applyAlignment="1" pivotButton="0" quotePrefix="0" xfId="0">
      <alignment wrapText="1"/>
    </xf>
    <xf numFmtId="0" fontId="4" fillId="5" borderId="10" applyAlignment="1" pivotButton="0" quotePrefix="0" xfId="0">
      <alignment wrapText="1"/>
    </xf>
    <xf numFmtId="0" fontId="4" fillId="5" borderId="11" applyAlignment="1" pivotButton="0" quotePrefix="0" xfId="0">
      <alignment wrapText="1"/>
    </xf>
    <xf numFmtId="165" fontId="4" fillId="5" borderId="10" applyAlignment="1" pivotButton="0" quotePrefix="0" xfId="0">
      <alignment wrapText="1"/>
    </xf>
    <xf numFmtId="165" fontId="4" fillId="5" borderId="11" applyAlignment="1" pivotButton="0" quotePrefix="0" xfId="0">
      <alignment wrapText="1"/>
    </xf>
    <xf numFmtId="166" fontId="6" fillId="4" borderId="10" applyAlignment="1" pivotButton="0" quotePrefix="0" xfId="0">
      <alignment wrapText="1"/>
    </xf>
    <xf numFmtId="166" fontId="6" fillId="4" borderId="11" applyAlignment="1" pivotButton="0" quotePrefix="0" xfId="0">
      <alignment wrapText="1"/>
    </xf>
    <xf numFmtId="167" fontId="6" fillId="4" borderId="10" applyAlignment="1" pivotButton="0" quotePrefix="0" xfId="0">
      <alignment wrapText="1"/>
    </xf>
    <xf numFmtId="165" fontId="6" fillId="4" borderId="10" applyAlignment="1" pivotButton="0" quotePrefix="0" xfId="0">
      <alignment wrapText="1"/>
    </xf>
    <xf numFmtId="167" fontId="6" fillId="4" borderId="11" applyAlignment="1" pivotButton="0" quotePrefix="0" xfId="0">
      <alignment wrapText="1"/>
    </xf>
    <xf numFmtId="165" fontId="6" fillId="4" borderId="11" applyAlignment="1" pivotButton="0" quotePrefix="0" xfId="0">
      <alignment wrapText="1"/>
    </xf>
    <xf numFmtId="167" fontId="0" fillId="0" borderId="0" pivotButton="0" quotePrefix="0" xfId="0"/>
    <xf numFmtId="164" fontId="6" fillId="4" borderId="10" applyAlignment="1" pivotButton="0" quotePrefix="0" xfId="0">
      <alignment wrapText="1"/>
    </xf>
    <xf numFmtId="165" fontId="4" fillId="5" borderId="10" applyAlignment="1" pivotButton="0" quotePrefix="0" xfId="0">
      <alignment wrapText="1"/>
    </xf>
    <xf numFmtId="164" fontId="6" fillId="4" borderId="11" applyAlignment="1" pivotButton="0" quotePrefix="0" xfId="0">
      <alignment wrapText="1"/>
    </xf>
    <xf numFmtId="165" fontId="4" fillId="5" borderId="11" applyAlignment="1" pivotButton="0" quotePrefix="0" xfId="0">
      <alignment wrapText="1"/>
    </xf>
    <xf numFmtId="164" fontId="0" fillId="0" borderId="0" pivotButton="0" quotePrefix="0" xfId="0"/>
    <xf numFmtId="166" fontId="6" fillId="4" borderId="10" applyAlignment="1" pivotButton="0" quotePrefix="0" xfId="0">
      <alignment wrapText="1"/>
    </xf>
    <xf numFmtId="166" fontId="6" fillId="4" borderId="11" applyAlignment="1" pivotButton="0" quotePrefix="0" xfId="0">
      <alignment wrapText="1"/>
    </xf>
    <xf numFmtId="166" fontId="0" fillId="0" borderId="0" pivotButton="0" quotePrefix="0" xfId="0"/>
    <xf numFmtId="168" fontId="0" fillId="0" borderId="0" pivotButton="0" quotePrefix="0" xfId="0"/>
  </cellXfs>
  <cellStyles count="1">
    <cellStyle name="Normal" xfId="0"/>
  </cellStyles>
  <dxfs count="1">
    <dxf>
      <font>
        <b val="1"/>
        <color rgb="FF9C0006"/>
      </font>
      <fill>
        <patternFill patternType="solid">
          <bgColor rgb="FFFCE4D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01全球油籽年度" displayName="T01全球油籽年度" ref="A4:L24" headerRowCount="1" totalsRowCount="0" totalsRowShown="0">
  <tableColumns count="12">
    <tableColumn id="1" name="营销年度_x000a_必填"/>
    <tableColumn id="2" name="数据版本日期_x000a_必填"/>
    <tableColumn id="3" name="油籽品种_x000a_必填"/>
    <tableColumn id="4" name="国家或地区_x000a_必填"/>
    <tableColumn id="5" name="产量_x000a_必填"/>
    <tableColumn id="6" name="出口量_x000a_必填"/>
    <tableColumn id="7" name="进口量_x000a_必填"/>
    <tableColumn id="8" name="压榨量_x000a_必填"/>
    <tableColumn id="9" name="国内消费量_x000a_选填"/>
    <tableColumn id="10" name="期末库存_x000a_选填"/>
    <tableColumn id="11" name="来源网址_x000a_必填"/>
    <tableColumn id="12" name="备注_x000a_选填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2大豆主产国年度" displayName="T02大豆主产国年度" ref="A4:M24" headerRowCount="1" totalsRowCount="0" totalsRowShown="0">
  <tableColumns count="13">
    <tableColumn id="1" name="营销年度_x000a_必填"/>
    <tableColumn id="2" name="数据版本日期_x000a_必填"/>
    <tableColumn id="3" name="国家_x000a_必填"/>
    <tableColumn id="4" name="播种面积_x000a_必填"/>
    <tableColumn id="5" name="收获面积_x000a_选填"/>
    <tableColumn id="6" name="单产_x000a_必填"/>
    <tableColumn id="7" name="产量_x000a_必填"/>
    <tableColumn id="8" name="出口量_x000a_选填"/>
    <tableColumn id="9" name="进口量_x000a_选填"/>
    <tableColumn id="10" name="压榨量_x000a_选填"/>
    <tableColumn id="11" name="期末库存_x000a_选填"/>
    <tableColumn id="12" name="来源网址_x000a_必填"/>
    <tableColumn id="13" name="备注_x000a_选填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3中国进口月度" displayName="T03中国进口月度" ref="A4:G24" headerRowCount="1" totalsRowCount="0" totalsRowShown="0">
  <tableColumns count="7">
    <tableColumn id="1" name="月份_x000a_必填"/>
    <tableColumn id="2" name="来源国_x000a_必填"/>
    <tableColumn id="3" name="进口数量_x000a_必填"/>
    <tableColumn id="4" name="进口金额_x000a_选填"/>
    <tableColumn id="5" name="进口均价_x000a_自动"/>
    <tableColumn id="6" name="来源网址_x000a_必填"/>
    <tableColumn id="7" name="备注_x000a_选填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4压榨库存月度" displayName="T04压榨库存月度" ref="A4:M24" headerRowCount="1" totalsRowCount="0" totalsRowShown="0">
  <tableColumns count="13">
    <tableColumn id="1" name="月份_x000a_必填"/>
    <tableColumn id="2" name="区域_x000a_必填"/>
    <tableColumn id="3" name="大豆到港量_x000a_必填"/>
    <tableColumn id="4" name="大豆压榨量_x000a_必填"/>
    <tableColumn id="5" name="平均开机率_x000a_选填"/>
    <tableColumn id="6" name="港口大豆库存_x000a_选填"/>
    <tableColumn id="7" name="油厂大豆库存_x000a_必填"/>
    <tableColumn id="8" name="油厂豆粕库存_x000a_必填"/>
    <tableColumn id="9" name="豆粕产量_x000a_选填"/>
    <tableColumn id="10" name="豆粕未执行合同_x000a_选填"/>
    <tableColumn id="11" name="来源机构_x000a_必填"/>
    <tableColumn id="12" name="来源网址_x000a_选填"/>
    <tableColumn id="13" name="备注_x000a_选填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5饲料月度" displayName="T05饲料月度" ref="A4:H24" headerRowCount="1" totalsRowCount="0" totalsRowShown="0">
  <tableColumns count="8">
    <tableColumn id="1" name="月份_x000a_必填"/>
    <tableColumn id="2" name="饲料品种_x000a_必填"/>
    <tableColumn id="3" name="饲料产量_x000a_必填"/>
    <tableColumn id="4" name="同比增速_x000a_选填"/>
    <tableColumn id="5" name="豆粕添加率假设_x000a_选填"/>
    <tableColumn id="6" name="估算豆粕需求_x000a_自动"/>
    <tableColumn id="7" name="来源网址_x000a_必填"/>
    <tableColumn id="8" name="备注_x000a_选填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6养殖月度" displayName="T06养殖月度" ref="A4:J24" headerRowCount="1" totalsRowCount="0" totalsRowShown="0">
  <tableColumns count="10">
    <tableColumn id="1" name="月份_x000a_必填"/>
    <tableColumn id="2" name="生猪存栏_x000a_必填"/>
    <tableColumn id="3" name="能繁母猪存栏_x000a_必填"/>
    <tableColumn id="4" name="生猪出栏/屠宰量_x000a_选填"/>
    <tableColumn id="5" name="肉鸡存栏或补栏_x000a_选填"/>
    <tableColumn id="6" name="蛋鸡存栏或补栏_x000a_选填"/>
    <tableColumn id="7" name="水产养殖景气或投苗指数_x000a_选填"/>
    <tableColumn id="8" name="来源机构_x000a_必填"/>
    <tableColumn id="9" name="来源网址_x000a_必填"/>
    <tableColumn id="10" name="备注_x000a_选填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7价格基差月度" displayName="T07价格基差月度" ref="A4:M24" headerRowCount="1" totalsRowCount="0" totalsRowShown="0">
  <tableColumns count="13">
    <tableColumn id="1" name="月份_x000a_必填"/>
    <tableColumn id="2" name="现货区域_x000a_必填"/>
    <tableColumn id="3" name="豆粕期货月均价_x000a_必填"/>
    <tableColumn id="4" name="豆粕期货月末价_x000a_必填"/>
    <tableColumn id="5" name="豆粕现货月均价_x000a_必填"/>
    <tableColumn id="6" name="月均基差_x000a_自动"/>
    <tableColumn id="7" name="CBOT大豆月均价_x000a_必填"/>
    <tableColumn id="8" name="豆油月均价_x000a_选填"/>
    <tableColumn id="9" name="玉米月均价_x000a_选填"/>
    <tableColumn id="10" name="美元兑人民币月均汇率_x000a_必填"/>
    <tableColumn id="11" name="海运费月均值_x000a_选填"/>
    <tableColumn id="12" name="来源网址_x000a_必填"/>
    <tableColumn id="13" name="备注_x000a_选填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8成本利润月度" displayName="T08成本利润月度" ref="A4:O24" headerRowCount="1" totalsRowCount="0" totalsRowShown="0">
  <tableColumns count="15">
    <tableColumn id="1" name="月份_x000a_必填"/>
    <tableColumn id="2" name="大豆来源_x000a_必填"/>
    <tableColumn id="3" name="大豆到岸完税成本_x000a_必填"/>
    <tableColumn id="4" name="豆粕销售价格_x000a_必填"/>
    <tableColumn id="5" name="豆油销售价格_x000a_必填"/>
    <tableColumn id="6" name="豆粕得率_x000a_必填"/>
    <tableColumn id="7" name="豆油得率_x000a_必填"/>
    <tableColumn id="8" name="加工及其他成本_x000a_必填"/>
    <tableColumn id="9" name="压榨收入_x000a_自动"/>
    <tableColumn id="10" name="压榨利润_x000a_自动"/>
    <tableColumn id="11" name="生猪养殖利润_x000a_选填"/>
    <tableColumn id="12" name="肉鸡养殖利润_x000a_选填"/>
    <tableColumn id="13" name="蛋鸡养殖利润_x000a_选填"/>
    <tableColumn id="14" name="来源网址_x000a_必填"/>
    <tableColumn id="15" name="备注_x000a_选填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0" customWidth="1" min="3" max="3"/>
    <col width="31" customWidth="1" min="4" max="4"/>
    <col width="13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豆粕研究数据采集模板｜月度与年度</t>
        </is>
      </c>
    </row>
    <row r="2"/>
    <row r="4" ht="34" customHeight="1">
      <c r="A4" s="6" t="inlineStr">
        <is>
          <t>规则</t>
        </is>
      </c>
      <c r="B4" s="6" t="inlineStr">
        <is>
          <t>要求</t>
        </is>
      </c>
      <c r="C4" s="6" t="inlineStr">
        <is>
          <t>原因</t>
        </is>
      </c>
    </row>
    <row r="5">
      <c r="A5" s="9" t="inlineStr">
        <is>
          <t>日期</t>
        </is>
      </c>
      <c r="B5" s="10" t="inlineStr">
        <is>
          <t>月度数据统一填当月1日，例如2026-01-01，显示格式为yyyy-mm；年度数据使用营销年度YYYY/YY。</t>
        </is>
      </c>
      <c r="C5" s="11" t="inlineStr">
        <is>
          <t>便于排序、合并和作图</t>
        </is>
      </c>
    </row>
    <row r="6">
      <c r="A6" s="12" t="inlineStr">
        <is>
          <t>数值</t>
        </is>
      </c>
      <c r="B6" s="13" t="inlineStr">
        <is>
          <t>只填数字，不要在单元格里附加“万吨”“%”等文字；单位已写在字段名和字段字典中。</t>
        </is>
      </c>
      <c r="C6" s="14" t="inlineStr">
        <is>
          <t>保证可计算</t>
        </is>
      </c>
    </row>
    <row r="7">
      <c r="A7" s="12" t="inlineStr">
        <is>
          <t>百分比</t>
        </is>
      </c>
      <c r="B7" s="13" t="inlineStr">
        <is>
          <t>Excel中填15.2%或0.152，不要填15.2。</t>
        </is>
      </c>
      <c r="C7" s="14" t="inlineStr">
        <is>
          <t>避免放大100倍</t>
        </is>
      </c>
    </row>
    <row r="8">
      <c r="A8" s="12" t="inlineStr">
        <is>
          <t>缺失值</t>
        </is>
      </c>
      <c r="B8" s="13" t="inlineStr">
        <is>
          <t>没有数据时保持空白，不填0、不填“-”。</t>
        </is>
      </c>
      <c r="C8" s="14" t="inlineStr">
        <is>
          <t>0代表真实的零</t>
        </is>
      </c>
    </row>
    <row r="9">
      <c r="A9" s="12" t="inlineStr">
        <is>
          <t>来源</t>
        </is>
      </c>
      <c r="B9" s="13" t="inlineStr">
        <is>
          <t>每行保留来源网址；付费终端数据可填终端名称和发布日期。</t>
        </is>
      </c>
      <c r="C9" s="14" t="inlineStr">
        <is>
          <t>保证可追溯</t>
        </is>
      </c>
    </row>
    <row r="10">
      <c r="A10" s="12" t="inlineStr">
        <is>
          <t>版本</t>
        </is>
      </c>
      <c r="B10" s="13" t="inlineStr">
        <is>
          <t>USDA等预测会修订，同一营销年度不同版本不得覆盖；用version_date区分。</t>
        </is>
      </c>
      <c r="C10" s="14" t="inlineStr">
        <is>
          <t>保留预测变化</t>
        </is>
      </c>
    </row>
    <row r="11">
      <c r="A11" s="12" t="inlineStr">
        <is>
          <t>月度汇总</t>
        </is>
      </c>
      <c r="B11" s="13" t="inlineStr">
        <is>
          <t>价格填月均及月末；库存填月末；进口/压榨/产量填月度合计。</t>
        </is>
      </c>
      <c r="C11" s="14" t="inlineStr">
        <is>
          <t>统一统计口径</t>
        </is>
      </c>
    </row>
    <row r="12">
      <c r="A12" s="15" t="inlineStr">
        <is>
          <t>颜色</t>
        </is>
      </c>
      <c r="B12" s="16" t="inlineStr">
        <is>
          <t>浅黄色和蓝字为需要采集填写；浅绿色为公式自动计算。</t>
        </is>
      </c>
      <c r="C12" s="17" t="inlineStr">
        <is>
          <t>降低误填风险</t>
        </is>
      </c>
    </row>
    <row r="14" ht="34" customHeight="1">
      <c r="A14" s="6" t="inlineStr">
        <is>
          <t>工作表</t>
        </is>
      </c>
      <c r="B14" s="6" t="inlineStr">
        <is>
          <t>频率</t>
        </is>
      </c>
      <c r="C14" s="6" t="inlineStr">
        <is>
          <t>采集内容</t>
        </is>
      </c>
      <c r="D14" s="6" t="inlineStr">
        <is>
          <t>首选来源</t>
        </is>
      </c>
      <c r="E14" s="6" t="inlineStr">
        <is>
          <t>必须先采</t>
        </is>
      </c>
      <c r="F14" s="6" t="inlineStr">
        <is>
          <t>输出用途</t>
        </is>
      </c>
    </row>
    <row r="15">
      <c r="A15" s="19" t="inlineStr">
        <is>
          <t>01全球油籽年度</t>
        </is>
      </c>
      <c r="B15" s="20" t="inlineStr">
        <is>
          <t>年度</t>
        </is>
      </c>
      <c r="C15" s="20" t="inlineStr">
        <is>
          <t>全球油籽供需</t>
        </is>
      </c>
      <c r="D15" s="20" t="inlineStr">
        <is>
          <t>USDA PSD</t>
        </is>
      </c>
      <c r="E15" s="20" t="inlineStr">
        <is>
          <t>是</t>
        </is>
      </c>
      <c r="F15" s="20" t="inlineStr">
        <is>
          <t>全球油料分布</t>
        </is>
      </c>
      <c r="G15" s="20" t="str"/>
      <c r="H15" s="21" t="str"/>
    </row>
    <row r="16">
      <c r="A16" s="22" t="inlineStr">
        <is>
          <t>02大豆主产国年度</t>
        </is>
      </c>
      <c r="B16" s="23" t="inlineStr">
        <is>
          <t>年度</t>
        </is>
      </c>
      <c r="C16" s="23" t="inlineStr">
        <is>
          <t>大豆主产国生产与平衡</t>
        </is>
      </c>
      <c r="D16" s="23" t="inlineStr">
        <is>
          <t>USDA PSD、USDA NASS、CONAB、阿根廷农业部</t>
        </is>
      </c>
      <c r="E16" s="23" t="inlineStr">
        <is>
          <t>是</t>
        </is>
      </c>
      <c r="F16" s="23" t="inlineStr">
        <is>
          <t>主产国面积、单产和产量</t>
        </is>
      </c>
      <c r="G16" s="23" t="str"/>
      <c r="H16" s="24" t="str"/>
    </row>
    <row r="17">
      <c r="A17" s="22" t="inlineStr">
        <is>
          <t>03中国进口月度</t>
        </is>
      </c>
      <c r="B17" s="23" t="inlineStr">
        <is>
          <t>月度</t>
        </is>
      </c>
      <c r="C17" s="23" t="inlineStr">
        <is>
          <t>中国大豆进口</t>
        </is>
      </c>
      <c r="D17" s="23" t="inlineStr">
        <is>
          <t>海关总署</t>
        </is>
      </c>
      <c r="E17" s="23" t="inlineStr">
        <is>
          <t>是</t>
        </is>
      </c>
      <c r="F17" s="23" t="inlineStr">
        <is>
          <t>中国进口需求</t>
        </is>
      </c>
      <c r="G17" s="23" t="str"/>
      <c r="H17" s="24" t="str"/>
    </row>
    <row r="18">
      <c r="A18" s="22" t="inlineStr">
        <is>
          <t>04压榨库存月度</t>
        </is>
      </c>
      <c r="B18" s="23" t="inlineStr">
        <is>
          <t>月度</t>
        </is>
      </c>
      <c r="C18" s="23" t="inlineStr">
        <is>
          <t>中国压榨与库存</t>
        </is>
      </c>
      <c r="D18" s="23" t="inlineStr">
        <is>
          <t>行业资讯、粮油信息中心、港口及油厂样本</t>
        </is>
      </c>
      <c r="E18" s="23" t="inlineStr">
        <is>
          <t>是</t>
        </is>
      </c>
      <c r="F18" s="23" t="inlineStr">
        <is>
          <t>国内豆粕供给与库存</t>
        </is>
      </c>
      <c r="G18" s="23" t="str"/>
      <c r="H18" s="24" t="str"/>
    </row>
    <row r="19">
      <c r="A19" s="22" t="inlineStr">
        <is>
          <t>05饲料月度</t>
        </is>
      </c>
      <c r="B19" s="23" t="inlineStr">
        <is>
          <t>月度</t>
        </is>
      </c>
      <c r="C19" s="23" t="inlineStr">
        <is>
          <t>饲料产量与结构</t>
        </is>
      </c>
      <c r="D19" s="23" t="inlineStr">
        <is>
          <t>中国饲料工业协会</t>
        </is>
      </c>
      <c r="E19" s="23" t="inlineStr">
        <is>
          <t>是</t>
        </is>
      </c>
      <c r="F19" s="23" t="inlineStr">
        <is>
          <t>豆粕需求预测</t>
        </is>
      </c>
      <c r="G19" s="23" t="str"/>
      <c r="H19" s="24" t="str"/>
    </row>
    <row r="20">
      <c r="A20" s="22" t="inlineStr">
        <is>
          <t>06养殖月度</t>
        </is>
      </c>
      <c r="B20" s="23" t="inlineStr">
        <is>
          <t>月度（季度数据也统一落在季度末月份）</t>
        </is>
      </c>
      <c r="C20" s="23" t="inlineStr">
        <is>
          <t>养殖存栏与供给指标</t>
        </is>
      </c>
      <c r="D20" s="23" t="inlineStr">
        <is>
          <t>国家统计局、农业农村部、行业资料</t>
        </is>
      </c>
      <c r="E20" s="23" t="inlineStr">
        <is>
          <t>是</t>
        </is>
      </c>
      <c r="F20" s="23" t="inlineStr">
        <is>
          <t>豆粕需求预测</t>
        </is>
      </c>
      <c r="G20" s="23" t="str"/>
      <c r="H20" s="24" t="str"/>
    </row>
    <row r="21">
      <c r="A21" s="22" t="inlineStr">
        <is>
          <t>07价格基差月度</t>
        </is>
      </c>
      <c r="B21" s="23" t="inlineStr">
        <is>
          <t>月度</t>
        </is>
      </c>
      <c r="C21" s="23" t="inlineStr">
        <is>
          <t>价格、基差与相关市场</t>
        </is>
      </c>
      <c r="D21" s="23" t="inlineStr">
        <is>
          <t>DCE、CME、现货报价、外汇及运费数据</t>
        </is>
      </c>
      <c r="E21" s="23" t="inlineStr">
        <is>
          <t>是</t>
        </is>
      </c>
      <c r="F21" s="23" t="inlineStr">
        <is>
          <t>基差、季节性与价格强弱</t>
        </is>
      </c>
      <c r="G21" s="23" t="str"/>
      <c r="H21" s="24" t="str"/>
    </row>
    <row r="22">
      <c r="A22" s="25" t="inlineStr">
        <is>
          <t>08成本利润月度</t>
        </is>
      </c>
      <c r="B22" s="26" t="inlineStr">
        <is>
          <t>月度</t>
        </is>
      </c>
      <c r="C22" s="26" t="inlineStr">
        <is>
          <t>进口成本、压榨利润与养殖利润</t>
        </is>
      </c>
      <c r="D22" s="26" t="inlineStr">
        <is>
          <t>由进口、价格与行业数据计算</t>
        </is>
      </c>
      <c r="E22" s="26" t="inlineStr">
        <is>
          <t>否</t>
        </is>
      </c>
      <c r="F22" s="26" t="inlineStr">
        <is>
          <t>成本与利润</t>
        </is>
      </c>
      <c r="G22" s="26" t="str"/>
      <c r="H22" s="27" t="str"/>
    </row>
  </sheetData>
  <mergeCells count="3">
    <mergeCell ref="A1:H2"/>
    <mergeCell ref="C4:H4"/>
    <mergeCell ref="F14:H14"/>
  </mergeCells>
  <conditionalFormatting sqref="E15:E22">
    <cfRule type="containsText" priority="1" operator="containsText" dxfId="0" text="是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3" customWidth="1" min="3" max="3"/>
    <col width="13" customWidth="1" min="4" max="4"/>
    <col width="34" customWidth="1" min="5" max="5"/>
    <col width="13" customWidth="1" min="6" max="6"/>
    <col width="19" customWidth="1" min="7" max="7"/>
    <col width="13" customWidth="1" min="8" max="8"/>
    <col width="42" customWidth="1" min="9" max="9"/>
  </cols>
  <sheetData>
    <row r="1">
      <c r="A1" s="3" t="inlineStr">
        <is>
          <t>字段字典｜数据格式、单位与必填要求</t>
        </is>
      </c>
    </row>
    <row r="2"/>
    <row r="4" ht="34" customHeight="1">
      <c r="A4" s="6" t="inlineStr">
        <is>
          <t>工作表</t>
        </is>
      </c>
      <c r="B4" s="6" t="inlineStr">
        <is>
          <t>字段名</t>
        </is>
      </c>
      <c r="C4" s="6" t="inlineStr">
        <is>
          <t>中文名称</t>
        </is>
      </c>
      <c r="D4" s="6" t="inlineStr">
        <is>
          <t>数据类型</t>
        </is>
      </c>
      <c r="E4" s="6" t="inlineStr">
        <is>
          <t>格式/单位</t>
        </is>
      </c>
      <c r="F4" s="6" t="inlineStr">
        <is>
          <t>是否必填</t>
        </is>
      </c>
      <c r="G4" s="6" t="inlineStr">
        <is>
          <t>频率</t>
        </is>
      </c>
      <c r="H4" s="6" t="inlineStr">
        <is>
          <t>原始/公式</t>
        </is>
      </c>
      <c r="I4" s="6" t="inlineStr">
        <is>
          <t>说明</t>
        </is>
      </c>
    </row>
    <row r="5">
      <c r="A5" s="29" t="inlineStr">
        <is>
          <t>01全球油籽年度</t>
        </is>
      </c>
      <c r="B5" s="29" t="inlineStr">
        <is>
          <t>marketing_year</t>
        </is>
      </c>
      <c r="C5" s="29" t="inlineStr">
        <is>
          <t>营销年度</t>
        </is>
      </c>
      <c r="D5" s="29" t="inlineStr">
        <is>
          <t>文本</t>
        </is>
      </c>
      <c r="E5" s="29" t="inlineStr">
        <is>
          <t>YYYY/YY，例如2025/26</t>
        </is>
      </c>
      <c r="F5" s="29" t="inlineStr">
        <is>
          <t>必填</t>
        </is>
      </c>
      <c r="G5" s="29" t="inlineStr">
        <is>
          <t>年度</t>
        </is>
      </c>
      <c r="H5" s="29" t="inlineStr">
        <is>
          <t>原始</t>
        </is>
      </c>
      <c r="I5" s="29" t="inlineStr">
        <is>
          <t>全球油籽供需｜年度/营销年度</t>
        </is>
      </c>
    </row>
    <row r="6">
      <c r="A6" s="30" t="inlineStr">
        <is>
          <t>01全球油籽年度</t>
        </is>
      </c>
      <c r="B6" s="30" t="inlineStr">
        <is>
          <t>version_date</t>
        </is>
      </c>
      <c r="C6" s="30" t="inlineStr">
        <is>
          <t>数据版本日期</t>
        </is>
      </c>
      <c r="D6" s="30" t="inlineStr">
        <is>
          <t>日期</t>
        </is>
      </c>
      <c r="E6" s="30" t="inlineStr">
        <is>
          <t>yyyy-mm-dd</t>
        </is>
      </c>
      <c r="F6" s="30" t="inlineStr">
        <is>
          <t>必填</t>
        </is>
      </c>
      <c r="G6" s="30" t="inlineStr">
        <is>
          <t>年度</t>
        </is>
      </c>
      <c r="H6" s="30" t="inlineStr">
        <is>
          <t>原始</t>
        </is>
      </c>
      <c r="I6" s="30" t="inlineStr">
        <is>
          <t>全球油籽供需｜年度/营销年度</t>
        </is>
      </c>
    </row>
    <row r="7">
      <c r="A7" s="30" t="inlineStr">
        <is>
          <t>01全球油籽年度</t>
        </is>
      </c>
      <c r="B7" s="30" t="inlineStr">
        <is>
          <t>commodity</t>
        </is>
      </c>
      <c r="C7" s="30" t="inlineStr">
        <is>
          <t>油籽品种</t>
        </is>
      </c>
      <c r="D7" s="30" t="inlineStr">
        <is>
          <t>文本</t>
        </is>
      </c>
      <c r="E7" s="30" t="inlineStr">
        <is>
          <t>大豆/菜籽/葵花籽/棉籽/花生/椰肉干/棕榈仁</t>
        </is>
      </c>
      <c r="F7" s="30" t="inlineStr">
        <is>
          <t>必填</t>
        </is>
      </c>
      <c r="G7" s="30" t="inlineStr">
        <is>
          <t>年度</t>
        </is>
      </c>
      <c r="H7" s="30" t="inlineStr">
        <is>
          <t>原始</t>
        </is>
      </c>
      <c r="I7" s="30" t="inlineStr">
        <is>
          <t>全球油籽供需｜年度/营销年度</t>
        </is>
      </c>
    </row>
    <row r="8">
      <c r="A8" s="30" t="inlineStr">
        <is>
          <t>01全球油籽年度</t>
        </is>
      </c>
      <c r="B8" s="30" t="inlineStr">
        <is>
          <t>country_region</t>
        </is>
      </c>
      <c r="C8" s="30" t="inlineStr">
        <is>
          <t>国家或地区</t>
        </is>
      </c>
      <c r="D8" s="30" t="inlineStr">
        <is>
          <t>文本</t>
        </is>
      </c>
      <c r="E8" s="30" t="inlineStr">
        <is>
          <t>World或国家名</t>
        </is>
      </c>
      <c r="F8" s="30" t="inlineStr">
        <is>
          <t>必填</t>
        </is>
      </c>
      <c r="G8" s="30" t="inlineStr">
        <is>
          <t>年度</t>
        </is>
      </c>
      <c r="H8" s="30" t="inlineStr">
        <is>
          <t>原始</t>
        </is>
      </c>
      <c r="I8" s="30" t="inlineStr">
        <is>
          <t>全球油籽供需｜年度/营销年度</t>
        </is>
      </c>
    </row>
    <row r="9">
      <c r="A9" s="30" t="inlineStr">
        <is>
          <t>01全球油籽年度</t>
        </is>
      </c>
      <c r="B9" s="30" t="inlineStr">
        <is>
          <t>production_kt</t>
        </is>
      </c>
      <c r="C9" s="30" t="inlineStr">
        <is>
          <t>产量</t>
        </is>
      </c>
      <c r="D9" s="30" t="inlineStr">
        <is>
          <t>数值</t>
        </is>
      </c>
      <c r="E9" s="30" t="inlineStr">
        <is>
          <t>千吨</t>
        </is>
      </c>
      <c r="F9" s="30" t="inlineStr">
        <is>
          <t>必填</t>
        </is>
      </c>
      <c r="G9" s="30" t="inlineStr">
        <is>
          <t>年度</t>
        </is>
      </c>
      <c r="H9" s="30" t="inlineStr">
        <is>
          <t>原始</t>
        </is>
      </c>
      <c r="I9" s="30" t="inlineStr">
        <is>
          <t>全球油籽供需｜年度/营销年度</t>
        </is>
      </c>
    </row>
    <row r="10">
      <c r="A10" s="30" t="inlineStr">
        <is>
          <t>01全球油籽年度</t>
        </is>
      </c>
      <c r="B10" s="30" t="inlineStr">
        <is>
          <t>exports_kt</t>
        </is>
      </c>
      <c r="C10" s="30" t="inlineStr">
        <is>
          <t>出口量</t>
        </is>
      </c>
      <c r="D10" s="30" t="inlineStr">
        <is>
          <t>数值</t>
        </is>
      </c>
      <c r="E10" s="30" t="inlineStr">
        <is>
          <t>千吨</t>
        </is>
      </c>
      <c r="F10" s="30" t="inlineStr">
        <is>
          <t>必填</t>
        </is>
      </c>
      <c r="G10" s="30" t="inlineStr">
        <is>
          <t>年度</t>
        </is>
      </c>
      <c r="H10" s="30" t="inlineStr">
        <is>
          <t>原始</t>
        </is>
      </c>
      <c r="I10" s="30" t="inlineStr">
        <is>
          <t>全球油籽供需｜年度/营销年度</t>
        </is>
      </c>
    </row>
    <row r="11">
      <c r="A11" s="30" t="inlineStr">
        <is>
          <t>01全球油籽年度</t>
        </is>
      </c>
      <c r="B11" s="30" t="inlineStr">
        <is>
          <t>imports_kt</t>
        </is>
      </c>
      <c r="C11" s="30" t="inlineStr">
        <is>
          <t>进口量</t>
        </is>
      </c>
      <c r="D11" s="30" t="inlineStr">
        <is>
          <t>数值</t>
        </is>
      </c>
      <c r="E11" s="30" t="inlineStr">
        <is>
          <t>千吨</t>
        </is>
      </c>
      <c r="F11" s="30" t="inlineStr">
        <is>
          <t>必填</t>
        </is>
      </c>
      <c r="G11" s="30" t="inlineStr">
        <is>
          <t>年度</t>
        </is>
      </c>
      <c r="H11" s="30" t="inlineStr">
        <is>
          <t>原始</t>
        </is>
      </c>
      <c r="I11" s="30" t="inlineStr">
        <is>
          <t>全球油籽供需｜年度/营销年度</t>
        </is>
      </c>
    </row>
    <row r="12">
      <c r="A12" s="30" t="inlineStr">
        <is>
          <t>01全球油籽年度</t>
        </is>
      </c>
      <c r="B12" s="30" t="inlineStr">
        <is>
          <t>crush_kt</t>
        </is>
      </c>
      <c r="C12" s="30" t="inlineStr">
        <is>
          <t>压榨量</t>
        </is>
      </c>
      <c r="D12" s="30" t="inlineStr">
        <is>
          <t>数值</t>
        </is>
      </c>
      <c r="E12" s="30" t="inlineStr">
        <is>
          <t>千吨</t>
        </is>
      </c>
      <c r="F12" s="30" t="inlineStr">
        <is>
          <t>必填</t>
        </is>
      </c>
      <c r="G12" s="30" t="inlineStr">
        <is>
          <t>年度</t>
        </is>
      </c>
      <c r="H12" s="30" t="inlineStr">
        <is>
          <t>原始</t>
        </is>
      </c>
      <c r="I12" s="30" t="inlineStr">
        <is>
          <t>全球油籽供需｜年度/营销年度</t>
        </is>
      </c>
    </row>
    <row r="13">
      <c r="A13" s="30" t="inlineStr">
        <is>
          <t>01全球油籽年度</t>
        </is>
      </c>
      <c r="B13" s="30" t="inlineStr">
        <is>
          <t>domestic_use_kt</t>
        </is>
      </c>
      <c r="C13" s="30" t="inlineStr">
        <is>
          <t>国内消费量</t>
        </is>
      </c>
      <c r="D13" s="30" t="inlineStr">
        <is>
          <t>数值</t>
        </is>
      </c>
      <c r="E13" s="30" t="inlineStr">
        <is>
          <t>千吨</t>
        </is>
      </c>
      <c r="F13" s="30" t="inlineStr">
        <is>
          <t>选填</t>
        </is>
      </c>
      <c r="G13" s="30" t="inlineStr">
        <is>
          <t>年度</t>
        </is>
      </c>
      <c r="H13" s="30" t="inlineStr">
        <is>
          <t>原始</t>
        </is>
      </c>
      <c r="I13" s="30" t="inlineStr">
        <is>
          <t>全球油籽供需｜年度/营销年度</t>
        </is>
      </c>
    </row>
    <row r="14">
      <c r="A14" s="30" t="inlineStr">
        <is>
          <t>01全球油籽年度</t>
        </is>
      </c>
      <c r="B14" s="30" t="inlineStr">
        <is>
          <t>ending_stocks_kt</t>
        </is>
      </c>
      <c r="C14" s="30" t="inlineStr">
        <is>
          <t>期末库存</t>
        </is>
      </c>
      <c r="D14" s="30" t="inlineStr">
        <is>
          <t>数值</t>
        </is>
      </c>
      <c r="E14" s="30" t="inlineStr">
        <is>
          <t>千吨</t>
        </is>
      </c>
      <c r="F14" s="30" t="inlineStr">
        <is>
          <t>选填</t>
        </is>
      </c>
      <c r="G14" s="30" t="inlineStr">
        <is>
          <t>年度</t>
        </is>
      </c>
      <c r="H14" s="30" t="inlineStr">
        <is>
          <t>原始</t>
        </is>
      </c>
      <c r="I14" s="30" t="inlineStr">
        <is>
          <t>全球油籽供需｜年度/营销年度</t>
        </is>
      </c>
    </row>
    <row r="15">
      <c r="A15" s="30" t="inlineStr">
        <is>
          <t>01全球油籽年度</t>
        </is>
      </c>
      <c r="B15" s="30" t="inlineStr">
        <is>
          <t>source_url</t>
        </is>
      </c>
      <c r="C15" s="30" t="inlineStr">
        <is>
          <t>来源网址</t>
        </is>
      </c>
      <c r="D15" s="30" t="inlineStr">
        <is>
          <t>文本</t>
        </is>
      </c>
      <c r="E15" s="30" t="inlineStr">
        <is>
          <t>完整URL</t>
        </is>
      </c>
      <c r="F15" s="30" t="inlineStr">
        <is>
          <t>必填</t>
        </is>
      </c>
      <c r="G15" s="30" t="inlineStr">
        <is>
          <t>年度</t>
        </is>
      </c>
      <c r="H15" s="30" t="inlineStr">
        <is>
          <t>原始</t>
        </is>
      </c>
      <c r="I15" s="30" t="inlineStr">
        <is>
          <t>全球油籽供需｜年度/营销年度</t>
        </is>
      </c>
    </row>
    <row r="16">
      <c r="A16" s="30" t="inlineStr">
        <is>
          <t>01全球油籽年度</t>
        </is>
      </c>
      <c r="B16" s="30" t="inlineStr">
        <is>
          <t>note</t>
        </is>
      </c>
      <c r="C16" s="30" t="inlineStr">
        <is>
          <t>备注</t>
        </is>
      </c>
      <c r="D16" s="30" t="inlineStr">
        <is>
          <t>文本</t>
        </is>
      </c>
      <c r="E16" s="30" t="inlineStr">
        <is>
          <t>口径变化、预测/估计说明</t>
        </is>
      </c>
      <c r="F16" s="30" t="inlineStr">
        <is>
          <t>选填</t>
        </is>
      </c>
      <c r="G16" s="30" t="inlineStr">
        <is>
          <t>年度</t>
        </is>
      </c>
      <c r="H16" s="30" t="inlineStr">
        <is>
          <t>原始</t>
        </is>
      </c>
      <c r="I16" s="30" t="inlineStr">
        <is>
          <t>全球油籽供需｜年度/营销年度</t>
        </is>
      </c>
    </row>
    <row r="17">
      <c r="A17" s="30" t="inlineStr">
        <is>
          <t>02大豆主产国年度</t>
        </is>
      </c>
      <c r="B17" s="30" t="inlineStr">
        <is>
          <t>marketing_year</t>
        </is>
      </c>
      <c r="C17" s="30" t="inlineStr">
        <is>
          <t>营销年度</t>
        </is>
      </c>
      <c r="D17" s="30" t="inlineStr">
        <is>
          <t>文本</t>
        </is>
      </c>
      <c r="E17" s="30" t="inlineStr">
        <is>
          <t>YYYY/YY</t>
        </is>
      </c>
      <c r="F17" s="30" t="inlineStr">
        <is>
          <t>必填</t>
        </is>
      </c>
      <c r="G17" s="30" t="inlineStr">
        <is>
          <t>年度</t>
        </is>
      </c>
      <c r="H17" s="30" t="inlineStr">
        <is>
          <t>原始</t>
        </is>
      </c>
      <c r="I17" s="30" t="inlineStr">
        <is>
          <t>大豆主产国生产与平衡｜年度/营销年度</t>
        </is>
      </c>
    </row>
    <row r="18">
      <c r="A18" s="30" t="inlineStr">
        <is>
          <t>02大豆主产国年度</t>
        </is>
      </c>
      <c r="B18" s="30" t="inlineStr">
        <is>
          <t>version_date</t>
        </is>
      </c>
      <c r="C18" s="30" t="inlineStr">
        <is>
          <t>数据版本日期</t>
        </is>
      </c>
      <c r="D18" s="30" t="inlineStr">
        <is>
          <t>日期</t>
        </is>
      </c>
      <c r="E18" s="30" t="inlineStr">
        <is>
          <t>yyyy-mm-dd</t>
        </is>
      </c>
      <c r="F18" s="30" t="inlineStr">
        <is>
          <t>必填</t>
        </is>
      </c>
      <c r="G18" s="30" t="inlineStr">
        <is>
          <t>年度</t>
        </is>
      </c>
      <c r="H18" s="30" t="inlineStr">
        <is>
          <t>原始</t>
        </is>
      </c>
      <c r="I18" s="30" t="inlineStr">
        <is>
          <t>大豆主产国生产与平衡｜年度/营销年度</t>
        </is>
      </c>
    </row>
    <row r="19">
      <c r="A19" s="30" t="inlineStr">
        <is>
          <t>02大豆主产国年度</t>
        </is>
      </c>
      <c r="B19" s="30" t="inlineStr">
        <is>
          <t>country</t>
        </is>
      </c>
      <c r="C19" s="30" t="inlineStr">
        <is>
          <t>国家</t>
        </is>
      </c>
      <c r="D19" s="30" t="inlineStr">
        <is>
          <t>文本</t>
        </is>
      </c>
      <c r="E19" s="30" t="inlineStr">
        <is>
          <t>美国/巴西/阿根廷/中国/其他</t>
        </is>
      </c>
      <c r="F19" s="30" t="inlineStr">
        <is>
          <t>必填</t>
        </is>
      </c>
      <c r="G19" s="30" t="inlineStr">
        <is>
          <t>年度</t>
        </is>
      </c>
      <c r="H19" s="30" t="inlineStr">
        <is>
          <t>原始</t>
        </is>
      </c>
      <c r="I19" s="30" t="inlineStr">
        <is>
          <t>大豆主产国生产与平衡｜年度/营销年度</t>
        </is>
      </c>
    </row>
    <row r="20">
      <c r="A20" s="30" t="inlineStr">
        <is>
          <t>02大豆主产国年度</t>
        </is>
      </c>
      <c r="B20" s="30" t="inlineStr">
        <is>
          <t>planted_area_kha</t>
        </is>
      </c>
      <c r="C20" s="30" t="inlineStr">
        <is>
          <t>播种面积</t>
        </is>
      </c>
      <c r="D20" s="30" t="inlineStr">
        <is>
          <t>数值</t>
        </is>
      </c>
      <c r="E20" s="30" t="inlineStr">
        <is>
          <t>千公顷</t>
        </is>
      </c>
      <c r="F20" s="30" t="inlineStr">
        <is>
          <t>必填</t>
        </is>
      </c>
      <c r="G20" s="30" t="inlineStr">
        <is>
          <t>年度</t>
        </is>
      </c>
      <c r="H20" s="30" t="inlineStr">
        <is>
          <t>原始</t>
        </is>
      </c>
      <c r="I20" s="30" t="inlineStr">
        <is>
          <t>大豆主产国生产与平衡｜年度/营销年度</t>
        </is>
      </c>
    </row>
    <row r="21">
      <c r="A21" s="30" t="inlineStr">
        <is>
          <t>02大豆主产国年度</t>
        </is>
      </c>
      <c r="B21" s="30" t="inlineStr">
        <is>
          <t>harvested_area_kha</t>
        </is>
      </c>
      <c r="C21" s="30" t="inlineStr">
        <is>
          <t>收获面积</t>
        </is>
      </c>
      <c r="D21" s="30" t="inlineStr">
        <is>
          <t>数值</t>
        </is>
      </c>
      <c r="E21" s="30" t="inlineStr">
        <is>
          <t>千公顷</t>
        </is>
      </c>
      <c r="F21" s="30" t="inlineStr">
        <is>
          <t>选填</t>
        </is>
      </c>
      <c r="G21" s="30" t="inlineStr">
        <is>
          <t>年度</t>
        </is>
      </c>
      <c r="H21" s="30" t="inlineStr">
        <is>
          <t>原始</t>
        </is>
      </c>
      <c r="I21" s="30" t="inlineStr">
        <is>
          <t>大豆主产国生产与平衡｜年度/营销年度</t>
        </is>
      </c>
    </row>
    <row r="22">
      <c r="A22" s="30" t="inlineStr">
        <is>
          <t>02大豆主产国年度</t>
        </is>
      </c>
      <c r="B22" s="30" t="inlineStr">
        <is>
          <t>yield_t_ha</t>
        </is>
      </c>
      <c r="C22" s="30" t="inlineStr">
        <is>
          <t>单产</t>
        </is>
      </c>
      <c r="D22" s="30" t="inlineStr">
        <is>
          <t>数值</t>
        </is>
      </c>
      <c r="E22" s="30" t="inlineStr">
        <is>
          <t>吨/公顷</t>
        </is>
      </c>
      <c r="F22" s="30" t="inlineStr">
        <is>
          <t>必填</t>
        </is>
      </c>
      <c r="G22" s="30" t="inlineStr">
        <is>
          <t>年度</t>
        </is>
      </c>
      <c r="H22" s="30" t="inlineStr">
        <is>
          <t>原始</t>
        </is>
      </c>
      <c r="I22" s="30" t="inlineStr">
        <is>
          <t>大豆主产国生产与平衡｜年度/营销年度</t>
        </is>
      </c>
    </row>
    <row r="23">
      <c r="A23" s="30" t="inlineStr">
        <is>
          <t>02大豆主产国年度</t>
        </is>
      </c>
      <c r="B23" s="30" t="inlineStr">
        <is>
          <t>production_kt</t>
        </is>
      </c>
      <c r="C23" s="30" t="inlineStr">
        <is>
          <t>产量</t>
        </is>
      </c>
      <c r="D23" s="30" t="inlineStr">
        <is>
          <t>数值</t>
        </is>
      </c>
      <c r="E23" s="30" t="inlineStr">
        <is>
          <t>千吨</t>
        </is>
      </c>
      <c r="F23" s="30" t="inlineStr">
        <is>
          <t>必填</t>
        </is>
      </c>
      <c r="G23" s="30" t="inlineStr">
        <is>
          <t>年度</t>
        </is>
      </c>
      <c r="H23" s="30" t="inlineStr">
        <is>
          <t>原始</t>
        </is>
      </c>
      <c r="I23" s="30" t="inlineStr">
        <is>
          <t>大豆主产国生产与平衡｜年度/营销年度</t>
        </is>
      </c>
    </row>
    <row r="24">
      <c r="A24" s="30" t="inlineStr">
        <is>
          <t>02大豆主产国年度</t>
        </is>
      </c>
      <c r="B24" s="30" t="inlineStr">
        <is>
          <t>exports_kt</t>
        </is>
      </c>
      <c r="C24" s="30" t="inlineStr">
        <is>
          <t>出口量</t>
        </is>
      </c>
      <c r="D24" s="30" t="inlineStr">
        <is>
          <t>数值</t>
        </is>
      </c>
      <c r="E24" s="30" t="inlineStr">
        <is>
          <t>千吨</t>
        </is>
      </c>
      <c r="F24" s="30" t="inlineStr">
        <is>
          <t>选填</t>
        </is>
      </c>
      <c r="G24" s="30" t="inlineStr">
        <is>
          <t>年度</t>
        </is>
      </c>
      <c r="H24" s="30" t="inlineStr">
        <is>
          <t>原始</t>
        </is>
      </c>
      <c r="I24" s="30" t="inlineStr">
        <is>
          <t>大豆主产国生产与平衡｜年度/营销年度</t>
        </is>
      </c>
    </row>
    <row r="25">
      <c r="A25" s="30" t="inlineStr">
        <is>
          <t>02大豆主产国年度</t>
        </is>
      </c>
      <c r="B25" s="30" t="inlineStr">
        <is>
          <t>imports_kt</t>
        </is>
      </c>
      <c r="C25" s="30" t="inlineStr">
        <is>
          <t>进口量</t>
        </is>
      </c>
      <c r="D25" s="30" t="inlineStr">
        <is>
          <t>数值</t>
        </is>
      </c>
      <c r="E25" s="30" t="inlineStr">
        <is>
          <t>千吨</t>
        </is>
      </c>
      <c r="F25" s="30" t="inlineStr">
        <is>
          <t>选填</t>
        </is>
      </c>
      <c r="G25" s="30" t="inlineStr">
        <is>
          <t>年度</t>
        </is>
      </c>
      <c r="H25" s="30" t="inlineStr">
        <is>
          <t>原始</t>
        </is>
      </c>
      <c r="I25" s="30" t="inlineStr">
        <is>
          <t>大豆主产国生产与平衡｜年度/营销年度</t>
        </is>
      </c>
    </row>
    <row r="26">
      <c r="A26" s="30" t="inlineStr">
        <is>
          <t>02大豆主产国年度</t>
        </is>
      </c>
      <c r="B26" s="30" t="inlineStr">
        <is>
          <t>crush_kt</t>
        </is>
      </c>
      <c r="C26" s="30" t="inlineStr">
        <is>
          <t>压榨量</t>
        </is>
      </c>
      <c r="D26" s="30" t="inlineStr">
        <is>
          <t>数值</t>
        </is>
      </c>
      <c r="E26" s="30" t="inlineStr">
        <is>
          <t>千吨</t>
        </is>
      </c>
      <c r="F26" s="30" t="inlineStr">
        <is>
          <t>选填</t>
        </is>
      </c>
      <c r="G26" s="30" t="inlineStr">
        <is>
          <t>年度</t>
        </is>
      </c>
      <c r="H26" s="30" t="inlineStr">
        <is>
          <t>原始</t>
        </is>
      </c>
      <c r="I26" s="30" t="inlineStr">
        <is>
          <t>大豆主产国生产与平衡｜年度/营销年度</t>
        </is>
      </c>
    </row>
    <row r="27">
      <c r="A27" s="30" t="inlineStr">
        <is>
          <t>02大豆主产国年度</t>
        </is>
      </c>
      <c r="B27" s="30" t="inlineStr">
        <is>
          <t>ending_stocks_kt</t>
        </is>
      </c>
      <c r="C27" s="30" t="inlineStr">
        <is>
          <t>期末库存</t>
        </is>
      </c>
      <c r="D27" s="30" t="inlineStr">
        <is>
          <t>数值</t>
        </is>
      </c>
      <c r="E27" s="30" t="inlineStr">
        <is>
          <t>千吨</t>
        </is>
      </c>
      <c r="F27" s="30" t="inlineStr">
        <is>
          <t>选填</t>
        </is>
      </c>
      <c r="G27" s="30" t="inlineStr">
        <is>
          <t>年度</t>
        </is>
      </c>
      <c r="H27" s="30" t="inlineStr">
        <is>
          <t>原始</t>
        </is>
      </c>
      <c r="I27" s="30" t="inlineStr">
        <is>
          <t>大豆主产国生产与平衡｜年度/营销年度</t>
        </is>
      </c>
    </row>
    <row r="28">
      <c r="A28" s="30" t="inlineStr">
        <is>
          <t>02大豆主产国年度</t>
        </is>
      </c>
      <c r="B28" s="30" t="inlineStr">
        <is>
          <t>source_url</t>
        </is>
      </c>
      <c r="C28" s="30" t="inlineStr">
        <is>
          <t>来源网址</t>
        </is>
      </c>
      <c r="D28" s="30" t="inlineStr">
        <is>
          <t>文本</t>
        </is>
      </c>
      <c r="E28" s="30" t="inlineStr">
        <is>
          <t>完整URL</t>
        </is>
      </c>
      <c r="F28" s="30" t="inlineStr">
        <is>
          <t>必填</t>
        </is>
      </c>
      <c r="G28" s="30" t="inlineStr">
        <is>
          <t>年度</t>
        </is>
      </c>
      <c r="H28" s="30" t="inlineStr">
        <is>
          <t>原始</t>
        </is>
      </c>
      <c r="I28" s="30" t="inlineStr">
        <is>
          <t>大豆主产国生产与平衡｜年度/营销年度</t>
        </is>
      </c>
    </row>
    <row r="29">
      <c r="A29" s="30" t="inlineStr">
        <is>
          <t>02大豆主产国年度</t>
        </is>
      </c>
      <c r="B29" s="30" t="inlineStr">
        <is>
          <t>note</t>
        </is>
      </c>
      <c r="C29" s="30" t="inlineStr">
        <is>
          <t>备注</t>
        </is>
      </c>
      <c r="D29" s="30" t="inlineStr">
        <is>
          <t>文本</t>
        </is>
      </c>
      <c r="E29" s="30" t="inlineStr">
        <is>
          <t>机构口径及修订说明</t>
        </is>
      </c>
      <c r="F29" s="30" t="inlineStr">
        <is>
          <t>选填</t>
        </is>
      </c>
      <c r="G29" s="30" t="inlineStr">
        <is>
          <t>年度</t>
        </is>
      </c>
      <c r="H29" s="30" t="inlineStr">
        <is>
          <t>原始</t>
        </is>
      </c>
      <c r="I29" s="30" t="inlineStr">
        <is>
          <t>大豆主产国生产与平衡｜年度/营销年度</t>
        </is>
      </c>
    </row>
    <row r="30">
      <c r="A30" s="30" t="inlineStr">
        <is>
          <t>03中国进口月度</t>
        </is>
      </c>
      <c r="B30" s="30" t="inlineStr">
        <is>
          <t>month</t>
        </is>
      </c>
      <c r="C30" s="30" t="inlineStr">
        <is>
          <t>月份</t>
        </is>
      </c>
      <c r="D30" s="30" t="inlineStr">
        <is>
          <t>日期</t>
        </is>
      </c>
      <c r="E30" s="30" t="inlineStr">
        <is>
          <t>统一填每月1日，格式yyyy-mm</t>
        </is>
      </c>
      <c r="F30" s="30" t="inlineStr">
        <is>
          <t>必填</t>
        </is>
      </c>
      <c r="G30" s="30" t="inlineStr">
        <is>
          <t>月度</t>
        </is>
      </c>
      <c r="H30" s="30" t="inlineStr">
        <is>
          <t>原始</t>
        </is>
      </c>
      <c r="I30" s="30" t="inlineStr">
        <is>
          <t>中国大豆进口｜月度</t>
        </is>
      </c>
    </row>
    <row r="31">
      <c r="A31" s="30" t="inlineStr">
        <is>
          <t>03中国进口月度</t>
        </is>
      </c>
      <c r="B31" s="30" t="inlineStr">
        <is>
          <t>origin_country</t>
        </is>
      </c>
      <c r="C31" s="30" t="inlineStr">
        <is>
          <t>来源国</t>
        </is>
      </c>
      <c r="D31" s="30" t="inlineStr">
        <is>
          <t>文本</t>
        </is>
      </c>
      <c r="E31" s="30" t="inlineStr">
        <is>
          <t>巴西/美国/阿根廷/其他/合计</t>
        </is>
      </c>
      <c r="F31" s="30" t="inlineStr">
        <is>
          <t>必填</t>
        </is>
      </c>
      <c r="G31" s="30" t="inlineStr">
        <is>
          <t>月度</t>
        </is>
      </c>
      <c r="H31" s="30" t="inlineStr">
        <is>
          <t>原始</t>
        </is>
      </c>
      <c r="I31" s="30" t="inlineStr">
        <is>
          <t>中国大豆进口｜月度</t>
        </is>
      </c>
    </row>
    <row r="32">
      <c r="A32" s="30" t="inlineStr">
        <is>
          <t>03中国进口月度</t>
        </is>
      </c>
      <c r="B32" s="30" t="inlineStr">
        <is>
          <t>import_qty_10kt</t>
        </is>
      </c>
      <c r="C32" s="30" t="inlineStr">
        <is>
          <t>进口数量</t>
        </is>
      </c>
      <c r="D32" s="30" t="inlineStr">
        <is>
          <t>数值</t>
        </is>
      </c>
      <c r="E32" s="30" t="inlineStr">
        <is>
          <t>万吨</t>
        </is>
      </c>
      <c r="F32" s="30" t="inlineStr">
        <is>
          <t>必填</t>
        </is>
      </c>
      <c r="G32" s="30" t="inlineStr">
        <is>
          <t>月度</t>
        </is>
      </c>
      <c r="H32" s="30" t="inlineStr">
        <is>
          <t>原始</t>
        </is>
      </c>
      <c r="I32" s="30" t="inlineStr">
        <is>
          <t>中国大豆进口｜月度</t>
        </is>
      </c>
    </row>
    <row r="33">
      <c r="A33" s="30" t="inlineStr">
        <is>
          <t>03中国进口月度</t>
        </is>
      </c>
      <c r="B33" s="30" t="inlineStr">
        <is>
          <t>import_value_100m_cny</t>
        </is>
      </c>
      <c r="C33" s="30" t="inlineStr">
        <is>
          <t>进口金额</t>
        </is>
      </c>
      <c r="D33" s="30" t="inlineStr">
        <is>
          <t>数值</t>
        </is>
      </c>
      <c r="E33" s="30" t="inlineStr">
        <is>
          <t>亿元人民币</t>
        </is>
      </c>
      <c r="F33" s="30" t="inlineStr">
        <is>
          <t>选填</t>
        </is>
      </c>
      <c r="G33" s="30" t="inlineStr">
        <is>
          <t>月度</t>
        </is>
      </c>
      <c r="H33" s="30" t="inlineStr">
        <is>
          <t>原始</t>
        </is>
      </c>
      <c r="I33" s="30" t="inlineStr">
        <is>
          <t>中国大豆进口｜月度</t>
        </is>
      </c>
    </row>
    <row r="34">
      <c r="A34" s="30" t="inlineStr">
        <is>
          <t>03中国进口月度</t>
        </is>
      </c>
      <c r="B34" s="30" t="inlineStr">
        <is>
          <t>avg_import_price_cny_t</t>
        </is>
      </c>
      <c r="C34" s="30" t="inlineStr">
        <is>
          <t>进口均价</t>
        </is>
      </c>
      <c r="D34" s="30" t="inlineStr">
        <is>
          <t>数值</t>
        </is>
      </c>
      <c r="E34" s="30" t="inlineStr">
        <is>
          <t>元/吨；金额×10000÷数量</t>
        </is>
      </c>
      <c r="F34" s="30" t="inlineStr">
        <is>
          <t>自动</t>
        </is>
      </c>
      <c r="G34" s="30" t="inlineStr">
        <is>
          <t>月度</t>
        </is>
      </c>
      <c r="H34" s="30" t="inlineStr">
        <is>
          <t>公式</t>
        </is>
      </c>
      <c r="I34" s="30" t="inlineStr">
        <is>
          <t>中国大豆进口｜月度</t>
        </is>
      </c>
    </row>
    <row r="35">
      <c r="A35" s="30" t="inlineStr">
        <is>
          <t>03中国进口月度</t>
        </is>
      </c>
      <c r="B35" s="30" t="inlineStr">
        <is>
          <t>source_url</t>
        </is>
      </c>
      <c r="C35" s="30" t="inlineStr">
        <is>
          <t>来源网址</t>
        </is>
      </c>
      <c r="D35" s="30" t="inlineStr">
        <is>
          <t>文本</t>
        </is>
      </c>
      <c r="E35" s="30" t="inlineStr">
        <is>
          <t>完整URL</t>
        </is>
      </c>
      <c r="F35" s="30" t="inlineStr">
        <is>
          <t>必填</t>
        </is>
      </c>
      <c r="G35" s="30" t="inlineStr">
        <is>
          <t>月度</t>
        </is>
      </c>
      <c r="H35" s="30" t="inlineStr">
        <is>
          <t>原始</t>
        </is>
      </c>
      <c r="I35" s="30" t="inlineStr">
        <is>
          <t>中国大豆进口｜月度</t>
        </is>
      </c>
    </row>
    <row r="36">
      <c r="A36" s="30" t="inlineStr">
        <is>
          <t>03中国进口月度</t>
        </is>
      </c>
      <c r="B36" s="30" t="inlineStr">
        <is>
          <t>note</t>
        </is>
      </c>
      <c r="C36" s="30" t="inlineStr">
        <is>
          <t>备注</t>
        </is>
      </c>
      <c r="D36" s="30" t="inlineStr">
        <is>
          <t>文本</t>
        </is>
      </c>
      <c r="E36" s="30" t="inlineStr">
        <is>
          <t>当月值/累计值必须注明</t>
        </is>
      </c>
      <c r="F36" s="30" t="inlineStr">
        <is>
          <t>选填</t>
        </is>
      </c>
      <c r="G36" s="30" t="inlineStr">
        <is>
          <t>月度</t>
        </is>
      </c>
      <c r="H36" s="30" t="inlineStr">
        <is>
          <t>原始</t>
        </is>
      </c>
      <c r="I36" s="30" t="inlineStr">
        <is>
          <t>中国大豆进口｜月度</t>
        </is>
      </c>
    </row>
    <row r="37">
      <c r="A37" s="30" t="inlineStr">
        <is>
          <t>04压榨库存月度</t>
        </is>
      </c>
      <c r="B37" s="30" t="inlineStr">
        <is>
          <t>month</t>
        </is>
      </c>
      <c r="C37" s="30" t="inlineStr">
        <is>
          <t>月份</t>
        </is>
      </c>
      <c r="D37" s="30" t="inlineStr">
        <is>
          <t>日期</t>
        </is>
      </c>
      <c r="E37" s="30" t="inlineStr">
        <is>
          <t>统一填每月1日，格式yyyy-mm</t>
        </is>
      </c>
      <c r="F37" s="30" t="inlineStr">
        <is>
          <t>必填</t>
        </is>
      </c>
      <c r="G37" s="30" t="inlineStr">
        <is>
          <t>月度</t>
        </is>
      </c>
      <c r="H37" s="30" t="inlineStr">
        <is>
          <t>原始</t>
        </is>
      </c>
      <c r="I37" s="30" t="inlineStr">
        <is>
          <t>中国压榨与库存｜月度</t>
        </is>
      </c>
    </row>
    <row r="38">
      <c r="A38" s="30" t="inlineStr">
        <is>
          <t>04压榨库存月度</t>
        </is>
      </c>
      <c r="B38" s="30" t="inlineStr">
        <is>
          <t>region</t>
        </is>
      </c>
      <c r="C38" s="30" t="inlineStr">
        <is>
          <t>区域</t>
        </is>
      </c>
      <c r="D38" s="30" t="inlineStr">
        <is>
          <t>文本</t>
        </is>
      </c>
      <c r="E38" s="30" t="inlineStr">
        <is>
          <t>全国/华东/华南/华北/山东/东北等</t>
        </is>
      </c>
      <c r="F38" s="30" t="inlineStr">
        <is>
          <t>必填</t>
        </is>
      </c>
      <c r="G38" s="30" t="inlineStr">
        <is>
          <t>月度</t>
        </is>
      </c>
      <c r="H38" s="30" t="inlineStr">
        <is>
          <t>原始</t>
        </is>
      </c>
      <c r="I38" s="30" t="inlineStr">
        <is>
          <t>中国压榨与库存｜月度</t>
        </is>
      </c>
    </row>
    <row r="39">
      <c r="A39" s="30" t="inlineStr">
        <is>
          <t>04压榨库存月度</t>
        </is>
      </c>
      <c r="B39" s="30" t="inlineStr">
        <is>
          <t>soy_arrivals_10kt</t>
        </is>
      </c>
      <c r="C39" s="30" t="inlineStr">
        <is>
          <t>大豆到港量</t>
        </is>
      </c>
      <c r="D39" s="30" t="inlineStr">
        <is>
          <t>数值</t>
        </is>
      </c>
      <c r="E39" s="30" t="inlineStr">
        <is>
          <t>万吨；月度合计</t>
        </is>
      </c>
      <c r="F39" s="30" t="inlineStr">
        <is>
          <t>必填</t>
        </is>
      </c>
      <c r="G39" s="30" t="inlineStr">
        <is>
          <t>月度</t>
        </is>
      </c>
      <c r="H39" s="30" t="inlineStr">
        <is>
          <t>原始</t>
        </is>
      </c>
      <c r="I39" s="30" t="inlineStr">
        <is>
          <t>中国压榨与库存｜月度</t>
        </is>
      </c>
    </row>
    <row r="40">
      <c r="A40" s="30" t="inlineStr">
        <is>
          <t>04压榨库存月度</t>
        </is>
      </c>
      <c r="B40" s="30" t="inlineStr">
        <is>
          <t>crush_volume_10kt</t>
        </is>
      </c>
      <c r="C40" s="30" t="inlineStr">
        <is>
          <t>大豆压榨量</t>
        </is>
      </c>
      <c r="D40" s="30" t="inlineStr">
        <is>
          <t>数值</t>
        </is>
      </c>
      <c r="E40" s="30" t="inlineStr">
        <is>
          <t>万吨；月度合计</t>
        </is>
      </c>
      <c r="F40" s="30" t="inlineStr">
        <is>
          <t>必填</t>
        </is>
      </c>
      <c r="G40" s="30" t="inlineStr">
        <is>
          <t>月度</t>
        </is>
      </c>
      <c r="H40" s="30" t="inlineStr">
        <is>
          <t>原始</t>
        </is>
      </c>
      <c r="I40" s="30" t="inlineStr">
        <is>
          <t>中国压榨与库存｜月度</t>
        </is>
      </c>
    </row>
    <row r="41">
      <c r="A41" s="30" t="inlineStr">
        <is>
          <t>04压榨库存月度</t>
        </is>
      </c>
      <c r="B41" s="30" t="inlineStr">
        <is>
          <t>operating_rate_pct</t>
        </is>
      </c>
      <c r="C41" s="30" t="inlineStr">
        <is>
          <t>平均开机率</t>
        </is>
      </c>
      <c r="D41" s="30" t="inlineStr">
        <is>
          <t>百分比</t>
        </is>
      </c>
      <c r="E41" s="30" t="inlineStr">
        <is>
          <t>0—100%</t>
        </is>
      </c>
      <c r="F41" s="30" t="inlineStr">
        <is>
          <t>选填</t>
        </is>
      </c>
      <c r="G41" s="30" t="inlineStr">
        <is>
          <t>月度</t>
        </is>
      </c>
      <c r="H41" s="30" t="inlineStr">
        <is>
          <t>原始</t>
        </is>
      </c>
      <c r="I41" s="30" t="inlineStr">
        <is>
          <t>中国压榨与库存｜月度</t>
        </is>
      </c>
    </row>
    <row r="42">
      <c r="A42" s="30" t="inlineStr">
        <is>
          <t>04压榨库存月度</t>
        </is>
      </c>
      <c r="B42" s="30" t="inlineStr">
        <is>
          <t>port_soy_stocks_10kt</t>
        </is>
      </c>
      <c r="C42" s="30" t="inlineStr">
        <is>
          <t>港口大豆库存</t>
        </is>
      </c>
      <c r="D42" s="30" t="inlineStr">
        <is>
          <t>数值</t>
        </is>
      </c>
      <c r="E42" s="30" t="inlineStr">
        <is>
          <t>万吨；月末值</t>
        </is>
      </c>
      <c r="F42" s="30" t="inlineStr">
        <is>
          <t>选填</t>
        </is>
      </c>
      <c r="G42" s="30" t="inlineStr">
        <is>
          <t>月度</t>
        </is>
      </c>
      <c r="H42" s="30" t="inlineStr">
        <is>
          <t>原始</t>
        </is>
      </c>
      <c r="I42" s="30" t="inlineStr">
        <is>
          <t>中国压榨与库存｜月度</t>
        </is>
      </c>
    </row>
    <row r="43">
      <c r="A43" s="30" t="inlineStr">
        <is>
          <t>04压榨库存月度</t>
        </is>
      </c>
      <c r="B43" s="30" t="inlineStr">
        <is>
          <t>mill_soy_stocks_10kt</t>
        </is>
      </c>
      <c r="C43" s="30" t="inlineStr">
        <is>
          <t>油厂大豆库存</t>
        </is>
      </c>
      <c r="D43" s="30" t="inlineStr">
        <is>
          <t>数值</t>
        </is>
      </c>
      <c r="E43" s="30" t="inlineStr">
        <is>
          <t>万吨；月末值</t>
        </is>
      </c>
      <c r="F43" s="30" t="inlineStr">
        <is>
          <t>必填</t>
        </is>
      </c>
      <c r="G43" s="30" t="inlineStr">
        <is>
          <t>月度</t>
        </is>
      </c>
      <c r="H43" s="30" t="inlineStr">
        <is>
          <t>原始</t>
        </is>
      </c>
      <c r="I43" s="30" t="inlineStr">
        <is>
          <t>中国压榨与库存｜月度</t>
        </is>
      </c>
    </row>
    <row r="44">
      <c r="A44" s="30" t="inlineStr">
        <is>
          <t>04压榨库存月度</t>
        </is>
      </c>
      <c r="B44" s="30" t="inlineStr">
        <is>
          <t>soymeal_stocks_10kt</t>
        </is>
      </c>
      <c r="C44" s="30" t="inlineStr">
        <is>
          <t>油厂豆粕库存</t>
        </is>
      </c>
      <c r="D44" s="30" t="inlineStr">
        <is>
          <t>数值</t>
        </is>
      </c>
      <c r="E44" s="30" t="inlineStr">
        <is>
          <t>万吨；月末值</t>
        </is>
      </c>
      <c r="F44" s="30" t="inlineStr">
        <is>
          <t>必填</t>
        </is>
      </c>
      <c r="G44" s="30" t="inlineStr">
        <is>
          <t>月度</t>
        </is>
      </c>
      <c r="H44" s="30" t="inlineStr">
        <is>
          <t>原始</t>
        </is>
      </c>
      <c r="I44" s="30" t="inlineStr">
        <is>
          <t>中国压榨与库存｜月度</t>
        </is>
      </c>
    </row>
    <row r="45">
      <c r="A45" s="30" t="inlineStr">
        <is>
          <t>04压榨库存月度</t>
        </is>
      </c>
      <c r="B45" s="30" t="inlineStr">
        <is>
          <t>soymeal_output_10kt</t>
        </is>
      </c>
      <c r="C45" s="30" t="inlineStr">
        <is>
          <t>豆粕产量</t>
        </is>
      </c>
      <c r="D45" s="30" t="inlineStr">
        <is>
          <t>数值</t>
        </is>
      </c>
      <c r="E45" s="30" t="inlineStr">
        <is>
          <t>万吨；月度合计</t>
        </is>
      </c>
      <c r="F45" s="30" t="inlineStr">
        <is>
          <t>选填</t>
        </is>
      </c>
      <c r="G45" s="30" t="inlineStr">
        <is>
          <t>月度</t>
        </is>
      </c>
      <c r="H45" s="30" t="inlineStr">
        <is>
          <t>原始</t>
        </is>
      </c>
      <c r="I45" s="30" t="inlineStr">
        <is>
          <t>中国压榨与库存｜月度</t>
        </is>
      </c>
    </row>
    <row r="46">
      <c r="A46" s="30" t="inlineStr">
        <is>
          <t>04压榨库存月度</t>
        </is>
      </c>
      <c r="B46" s="30" t="inlineStr">
        <is>
          <t>unexecuted_contracts_10kt</t>
        </is>
      </c>
      <c r="C46" s="30" t="inlineStr">
        <is>
          <t>豆粕未执行合同</t>
        </is>
      </c>
      <c r="D46" s="30" t="inlineStr">
        <is>
          <t>数值</t>
        </is>
      </c>
      <c r="E46" s="30" t="inlineStr">
        <is>
          <t>万吨；月末值</t>
        </is>
      </c>
      <c r="F46" s="30" t="inlineStr">
        <is>
          <t>选填</t>
        </is>
      </c>
      <c r="G46" s="30" t="inlineStr">
        <is>
          <t>月度</t>
        </is>
      </c>
      <c r="H46" s="30" t="inlineStr">
        <is>
          <t>原始</t>
        </is>
      </c>
      <c r="I46" s="30" t="inlineStr">
        <is>
          <t>中国压榨与库存｜月度</t>
        </is>
      </c>
    </row>
    <row r="47">
      <c r="A47" s="30" t="inlineStr">
        <is>
          <t>04压榨库存月度</t>
        </is>
      </c>
      <c r="B47" s="30" t="inlineStr">
        <is>
          <t>source_name</t>
        </is>
      </c>
      <c r="C47" s="30" t="inlineStr">
        <is>
          <t>来源机构</t>
        </is>
      </c>
      <c r="D47" s="30" t="inlineStr">
        <is>
          <t>文本</t>
        </is>
      </c>
      <c r="E47" s="30" t="inlineStr">
        <is>
          <t>供应商或样本名称</t>
        </is>
      </c>
      <c r="F47" s="30" t="inlineStr">
        <is>
          <t>必填</t>
        </is>
      </c>
      <c r="G47" s="30" t="inlineStr">
        <is>
          <t>月度</t>
        </is>
      </c>
      <c r="H47" s="30" t="inlineStr">
        <is>
          <t>原始</t>
        </is>
      </c>
      <c r="I47" s="30" t="inlineStr">
        <is>
          <t>中国压榨与库存｜月度</t>
        </is>
      </c>
    </row>
    <row r="48">
      <c r="A48" s="30" t="inlineStr">
        <is>
          <t>04压榨库存月度</t>
        </is>
      </c>
      <c r="B48" s="30" t="inlineStr">
        <is>
          <t>source_url</t>
        </is>
      </c>
      <c r="C48" s="30" t="inlineStr">
        <is>
          <t>来源网址</t>
        </is>
      </c>
      <c r="D48" s="30" t="inlineStr">
        <is>
          <t>文本</t>
        </is>
      </c>
      <c r="E48" s="30" t="inlineStr">
        <is>
          <t>完整URL；终端数据可写终端名</t>
        </is>
      </c>
      <c r="F48" s="30" t="inlineStr">
        <is>
          <t>选填</t>
        </is>
      </c>
      <c r="G48" s="30" t="inlineStr">
        <is>
          <t>月度</t>
        </is>
      </c>
      <c r="H48" s="30" t="inlineStr">
        <is>
          <t>原始</t>
        </is>
      </c>
      <c r="I48" s="30" t="inlineStr">
        <is>
          <t>中国压榨与库存｜月度</t>
        </is>
      </c>
    </row>
    <row r="49">
      <c r="A49" s="30" t="inlineStr">
        <is>
          <t>04压榨库存月度</t>
        </is>
      </c>
      <c r="B49" s="30" t="inlineStr">
        <is>
          <t>note</t>
        </is>
      </c>
      <c r="C49" s="30" t="inlineStr">
        <is>
          <t>备注</t>
        </is>
      </c>
      <c r="D49" s="30" t="inlineStr">
        <is>
          <t>文本</t>
        </is>
      </c>
      <c r="E49" s="30" t="inlineStr">
        <is>
          <t>样本范围及口径变化</t>
        </is>
      </c>
      <c r="F49" s="30" t="inlineStr">
        <is>
          <t>选填</t>
        </is>
      </c>
      <c r="G49" s="30" t="inlineStr">
        <is>
          <t>月度</t>
        </is>
      </c>
      <c r="H49" s="30" t="inlineStr">
        <is>
          <t>原始</t>
        </is>
      </c>
      <c r="I49" s="30" t="inlineStr">
        <is>
          <t>中国压榨与库存｜月度</t>
        </is>
      </c>
    </row>
    <row r="50">
      <c r="A50" s="30" t="inlineStr">
        <is>
          <t>05饲料月度</t>
        </is>
      </c>
      <c r="B50" s="30" t="inlineStr">
        <is>
          <t>month</t>
        </is>
      </c>
      <c r="C50" s="30" t="inlineStr">
        <is>
          <t>月份</t>
        </is>
      </c>
      <c r="D50" s="30" t="inlineStr">
        <is>
          <t>日期</t>
        </is>
      </c>
      <c r="E50" s="30" t="inlineStr">
        <is>
          <t>统一填每月1日，格式yyyy-mm</t>
        </is>
      </c>
      <c r="F50" s="30" t="inlineStr">
        <is>
          <t>必填</t>
        </is>
      </c>
      <c r="G50" s="30" t="inlineStr">
        <is>
          <t>月度</t>
        </is>
      </c>
      <c r="H50" s="30" t="inlineStr">
        <is>
          <t>原始</t>
        </is>
      </c>
      <c r="I50" s="30" t="inlineStr">
        <is>
          <t>饲料产量与结构｜月度</t>
        </is>
      </c>
    </row>
    <row r="51">
      <c r="A51" s="30" t="inlineStr">
        <is>
          <t>05饲料月度</t>
        </is>
      </c>
      <c r="B51" s="30" t="inlineStr">
        <is>
          <t>feed_category</t>
        </is>
      </c>
      <c r="C51" s="30" t="inlineStr">
        <is>
          <t>饲料品种</t>
        </is>
      </c>
      <c r="D51" s="30" t="inlineStr">
        <is>
          <t>文本</t>
        </is>
      </c>
      <c r="E51" s="30" t="inlineStr">
        <is>
          <t>猪料/蛋禽料/肉禽料/水产料/反刍料/宠物料/其他/合计</t>
        </is>
      </c>
      <c r="F51" s="30" t="inlineStr">
        <is>
          <t>必填</t>
        </is>
      </c>
      <c r="G51" s="30" t="inlineStr">
        <is>
          <t>月度</t>
        </is>
      </c>
      <c r="H51" s="30" t="inlineStr">
        <is>
          <t>原始</t>
        </is>
      </c>
      <c r="I51" s="30" t="inlineStr">
        <is>
          <t>饲料产量与结构｜月度</t>
        </is>
      </c>
    </row>
    <row r="52">
      <c r="A52" s="30" t="inlineStr">
        <is>
          <t>05饲料月度</t>
        </is>
      </c>
      <c r="B52" s="30" t="inlineStr">
        <is>
          <t>feed_output_10kt</t>
        </is>
      </c>
      <c r="C52" s="30" t="inlineStr">
        <is>
          <t>饲料产量</t>
        </is>
      </c>
      <c r="D52" s="30" t="inlineStr">
        <is>
          <t>数值</t>
        </is>
      </c>
      <c r="E52" s="30" t="inlineStr">
        <is>
          <t>万吨；月度合计</t>
        </is>
      </c>
      <c r="F52" s="30" t="inlineStr">
        <is>
          <t>必填</t>
        </is>
      </c>
      <c r="G52" s="30" t="inlineStr">
        <is>
          <t>月度</t>
        </is>
      </c>
      <c r="H52" s="30" t="inlineStr">
        <is>
          <t>原始</t>
        </is>
      </c>
      <c r="I52" s="30" t="inlineStr">
        <is>
          <t>饲料产量与结构｜月度</t>
        </is>
      </c>
    </row>
    <row r="53">
      <c r="A53" s="30" t="inlineStr">
        <is>
          <t>05饲料月度</t>
        </is>
      </c>
      <c r="B53" s="30" t="inlineStr">
        <is>
          <t>yoy_pct</t>
        </is>
      </c>
      <c r="C53" s="30" t="inlineStr">
        <is>
          <t>同比增速</t>
        </is>
      </c>
      <c r="D53" s="30" t="inlineStr">
        <is>
          <t>百分比</t>
        </is>
      </c>
      <c r="E53" s="30" t="inlineStr">
        <is>
          <t>0.0%</t>
        </is>
      </c>
      <c r="F53" s="30" t="inlineStr">
        <is>
          <t>选填</t>
        </is>
      </c>
      <c r="G53" s="30" t="inlineStr">
        <is>
          <t>月度</t>
        </is>
      </c>
      <c r="H53" s="30" t="inlineStr">
        <is>
          <t>原始</t>
        </is>
      </c>
      <c r="I53" s="30" t="inlineStr">
        <is>
          <t>饲料产量与结构｜月度</t>
        </is>
      </c>
    </row>
    <row r="54">
      <c r="A54" s="30" t="inlineStr">
        <is>
          <t>05饲料月度</t>
        </is>
      </c>
      <c r="B54" s="30" t="inlineStr">
        <is>
          <t>soymeal_inclusion_pct</t>
        </is>
      </c>
      <c r="C54" s="30" t="inlineStr">
        <is>
          <t>豆粕添加率假设</t>
        </is>
      </c>
      <c r="D54" s="30" t="inlineStr">
        <is>
          <t>百分比</t>
        </is>
      </c>
      <c r="E54" s="30" t="inlineStr">
        <is>
          <t>0.0%；若无可靠数据可暂空</t>
        </is>
      </c>
      <c r="F54" s="30" t="inlineStr">
        <is>
          <t>选填</t>
        </is>
      </c>
      <c r="G54" s="30" t="inlineStr">
        <is>
          <t>月度</t>
        </is>
      </c>
      <c r="H54" s="30" t="inlineStr">
        <is>
          <t>假设</t>
        </is>
      </c>
      <c r="I54" s="30" t="inlineStr">
        <is>
          <t>饲料产量与结构｜月度</t>
        </is>
      </c>
    </row>
    <row r="55">
      <c r="A55" s="30" t="inlineStr">
        <is>
          <t>05饲料月度</t>
        </is>
      </c>
      <c r="B55" s="30" t="inlineStr">
        <is>
          <t>estimated_soymeal_demand_10kt</t>
        </is>
      </c>
      <c r="C55" s="30" t="inlineStr">
        <is>
          <t>估算豆粕需求</t>
        </is>
      </c>
      <c r="D55" s="30" t="inlineStr">
        <is>
          <t>数值</t>
        </is>
      </c>
      <c r="E55" s="30" t="inlineStr">
        <is>
          <t>万吨；饲料产量×添加率</t>
        </is>
      </c>
      <c r="F55" s="30" t="inlineStr">
        <is>
          <t>自动</t>
        </is>
      </c>
      <c r="G55" s="30" t="inlineStr">
        <is>
          <t>月度</t>
        </is>
      </c>
      <c r="H55" s="30" t="inlineStr">
        <is>
          <t>公式</t>
        </is>
      </c>
      <c r="I55" s="30" t="inlineStr">
        <is>
          <t>饲料产量与结构｜月度</t>
        </is>
      </c>
    </row>
    <row r="56">
      <c r="A56" s="30" t="inlineStr">
        <is>
          <t>05饲料月度</t>
        </is>
      </c>
      <c r="B56" s="30" t="inlineStr">
        <is>
          <t>source_url</t>
        </is>
      </c>
      <c r="C56" s="30" t="inlineStr">
        <is>
          <t>来源网址</t>
        </is>
      </c>
      <c r="D56" s="30" t="inlineStr">
        <is>
          <t>文本</t>
        </is>
      </c>
      <c r="E56" s="30" t="inlineStr">
        <is>
          <t>完整URL</t>
        </is>
      </c>
      <c r="F56" s="30" t="inlineStr">
        <is>
          <t>必填</t>
        </is>
      </c>
      <c r="G56" s="30" t="inlineStr">
        <is>
          <t>月度</t>
        </is>
      </c>
      <c r="H56" s="30" t="inlineStr">
        <is>
          <t>原始</t>
        </is>
      </c>
      <c r="I56" s="30" t="inlineStr">
        <is>
          <t>饲料产量与结构｜月度</t>
        </is>
      </c>
    </row>
    <row r="57">
      <c r="A57" s="30" t="inlineStr">
        <is>
          <t>05饲料月度</t>
        </is>
      </c>
      <c r="B57" s="30" t="inlineStr">
        <is>
          <t>note</t>
        </is>
      </c>
      <c r="C57" s="30" t="inlineStr">
        <is>
          <t>备注</t>
        </is>
      </c>
      <c r="D57" s="30" t="inlineStr">
        <is>
          <t>文本</t>
        </is>
      </c>
      <c r="E57" s="30" t="inlineStr">
        <is>
          <t>样本范围及口径变化</t>
        </is>
      </c>
      <c r="F57" s="30" t="inlineStr">
        <is>
          <t>选填</t>
        </is>
      </c>
      <c r="G57" s="30" t="inlineStr">
        <is>
          <t>月度</t>
        </is>
      </c>
      <c r="H57" s="30" t="inlineStr">
        <is>
          <t>原始</t>
        </is>
      </c>
      <c r="I57" s="30" t="inlineStr">
        <is>
          <t>饲料产量与结构｜月度</t>
        </is>
      </c>
    </row>
    <row r="58">
      <c r="A58" s="30" t="inlineStr">
        <is>
          <t>06养殖月度</t>
        </is>
      </c>
      <c r="B58" s="30" t="inlineStr">
        <is>
          <t>month</t>
        </is>
      </c>
      <c r="C58" s="30" t="inlineStr">
        <is>
          <t>月份</t>
        </is>
      </c>
      <c r="D58" s="30" t="inlineStr">
        <is>
          <t>日期</t>
        </is>
      </c>
      <c r="E58" s="30" t="inlineStr">
        <is>
          <t>统一填每月1日，格式yyyy-mm</t>
        </is>
      </c>
      <c r="F58" s="30" t="inlineStr">
        <is>
          <t>必填</t>
        </is>
      </c>
      <c r="G58" s="30" t="inlineStr">
        <is>
          <t>月度（季度数据也统一落在季度末月份）</t>
        </is>
      </c>
      <c r="H58" s="30" t="inlineStr">
        <is>
          <t>原始</t>
        </is>
      </c>
      <c r="I58" s="30" t="inlineStr">
        <is>
          <t>养殖存栏与供给指标｜月度</t>
        </is>
      </c>
    </row>
    <row r="59">
      <c r="A59" s="30" t="inlineStr">
        <is>
          <t>06养殖月度</t>
        </is>
      </c>
      <c r="B59" s="30" t="inlineStr">
        <is>
          <t>hog_stock_10k_head</t>
        </is>
      </c>
      <c r="C59" s="30" t="inlineStr">
        <is>
          <t>生猪存栏</t>
        </is>
      </c>
      <c r="D59" s="30" t="inlineStr">
        <is>
          <t>数值</t>
        </is>
      </c>
      <c r="E59" s="30" t="inlineStr">
        <is>
          <t>万头；月末或季度末</t>
        </is>
      </c>
      <c r="F59" s="30" t="inlineStr">
        <is>
          <t>必填</t>
        </is>
      </c>
      <c r="G59" s="30" t="inlineStr">
        <is>
          <t>月度（季度数据也统一落在季度末月份）</t>
        </is>
      </c>
      <c r="H59" s="30" t="inlineStr">
        <is>
          <t>原始</t>
        </is>
      </c>
      <c r="I59" s="30" t="inlineStr">
        <is>
          <t>养殖存栏与供给指标｜月度</t>
        </is>
      </c>
    </row>
    <row r="60">
      <c r="A60" s="30" t="inlineStr">
        <is>
          <t>06养殖月度</t>
        </is>
      </c>
      <c r="B60" s="30" t="inlineStr">
        <is>
          <t>breeding_sow_10k_head</t>
        </is>
      </c>
      <c r="C60" s="30" t="inlineStr">
        <is>
          <t>能繁母猪存栏</t>
        </is>
      </c>
      <c r="D60" s="30" t="inlineStr">
        <is>
          <t>数值</t>
        </is>
      </c>
      <c r="E60" s="30" t="inlineStr">
        <is>
          <t>万头；月末或季度末</t>
        </is>
      </c>
      <c r="F60" s="30" t="inlineStr">
        <is>
          <t>必填</t>
        </is>
      </c>
      <c r="G60" s="30" t="inlineStr">
        <is>
          <t>月度（季度数据也统一落在季度末月份）</t>
        </is>
      </c>
      <c r="H60" s="30" t="inlineStr">
        <is>
          <t>原始</t>
        </is>
      </c>
      <c r="I60" s="30" t="inlineStr">
        <is>
          <t>养殖存栏与供给指标｜月度</t>
        </is>
      </c>
    </row>
    <row r="61">
      <c r="A61" s="30" t="inlineStr">
        <is>
          <t>06养殖月度</t>
        </is>
      </c>
      <c r="B61" s="30" t="inlineStr">
        <is>
          <t>hog_slaughter_10k_head</t>
        </is>
      </c>
      <c r="C61" s="30" t="inlineStr">
        <is>
          <t>生猪出栏/屠宰量</t>
        </is>
      </c>
      <c r="D61" s="30" t="inlineStr">
        <is>
          <t>数值</t>
        </is>
      </c>
      <c r="E61" s="30" t="inlineStr">
        <is>
          <t>万头；月度合计</t>
        </is>
      </c>
      <c r="F61" s="30" t="inlineStr">
        <is>
          <t>选填</t>
        </is>
      </c>
      <c r="G61" s="30" t="inlineStr">
        <is>
          <t>月度（季度数据也统一落在季度末月份）</t>
        </is>
      </c>
      <c r="H61" s="30" t="inlineStr">
        <is>
          <t>原始</t>
        </is>
      </c>
      <c r="I61" s="30" t="inlineStr">
        <is>
          <t>养殖存栏与供给指标｜月度</t>
        </is>
      </c>
    </row>
    <row r="62">
      <c r="A62" s="30" t="inlineStr">
        <is>
          <t>06养殖月度</t>
        </is>
      </c>
      <c r="B62" s="30" t="inlineStr">
        <is>
          <t>broiler_stock_10k_birds</t>
        </is>
      </c>
      <c r="C62" s="30" t="inlineStr">
        <is>
          <t>肉鸡存栏或补栏</t>
        </is>
      </c>
      <c r="D62" s="30" t="inlineStr">
        <is>
          <t>数值</t>
        </is>
      </c>
      <c r="E62" s="30" t="inlineStr">
        <is>
          <t>万羽；注明口径</t>
        </is>
      </c>
      <c r="F62" s="30" t="inlineStr">
        <is>
          <t>选填</t>
        </is>
      </c>
      <c r="G62" s="30" t="inlineStr">
        <is>
          <t>月度（季度数据也统一落在季度末月份）</t>
        </is>
      </c>
      <c r="H62" s="30" t="inlineStr">
        <is>
          <t>原始</t>
        </is>
      </c>
      <c r="I62" s="30" t="inlineStr">
        <is>
          <t>养殖存栏与供给指标｜月度</t>
        </is>
      </c>
    </row>
    <row r="63">
      <c r="A63" s="30" t="inlineStr">
        <is>
          <t>06养殖月度</t>
        </is>
      </c>
      <c r="B63" s="30" t="inlineStr">
        <is>
          <t>layer_stock_10k_birds</t>
        </is>
      </c>
      <c r="C63" s="30" t="inlineStr">
        <is>
          <t>蛋鸡存栏或补栏</t>
        </is>
      </c>
      <c r="D63" s="30" t="inlineStr">
        <is>
          <t>数值</t>
        </is>
      </c>
      <c r="E63" s="30" t="inlineStr">
        <is>
          <t>万羽；注明口径</t>
        </is>
      </c>
      <c r="F63" s="30" t="inlineStr">
        <is>
          <t>选填</t>
        </is>
      </c>
      <c r="G63" s="30" t="inlineStr">
        <is>
          <t>月度（季度数据也统一落在季度末月份）</t>
        </is>
      </c>
      <c r="H63" s="30" t="inlineStr">
        <is>
          <t>原始</t>
        </is>
      </c>
      <c r="I63" s="30" t="inlineStr">
        <is>
          <t>养殖存栏与供给指标｜月度</t>
        </is>
      </c>
    </row>
    <row r="64">
      <c r="A64" s="30" t="inlineStr">
        <is>
          <t>06养殖月度</t>
        </is>
      </c>
      <c r="B64" s="30" t="inlineStr">
        <is>
          <t>aquaculture_index</t>
        </is>
      </c>
      <c r="C64" s="30" t="inlineStr">
        <is>
          <t>水产养殖景气或投苗指数</t>
        </is>
      </c>
      <c r="D64" s="30" t="inlineStr">
        <is>
          <t>数值</t>
        </is>
      </c>
      <c r="E64" s="30" t="inlineStr">
        <is>
          <t>指数；没有可不采</t>
        </is>
      </c>
      <c r="F64" s="30" t="inlineStr">
        <is>
          <t>选填</t>
        </is>
      </c>
      <c r="G64" s="30" t="inlineStr">
        <is>
          <t>月度（季度数据也统一落在季度末月份）</t>
        </is>
      </c>
      <c r="H64" s="30" t="inlineStr">
        <is>
          <t>原始</t>
        </is>
      </c>
      <c r="I64" s="30" t="inlineStr">
        <is>
          <t>养殖存栏与供给指标｜月度</t>
        </is>
      </c>
    </row>
    <row r="65">
      <c r="A65" s="30" t="inlineStr">
        <is>
          <t>06养殖月度</t>
        </is>
      </c>
      <c r="B65" s="30" t="inlineStr">
        <is>
          <t>source_name</t>
        </is>
      </c>
      <c r="C65" s="30" t="inlineStr">
        <is>
          <t>来源机构</t>
        </is>
      </c>
      <c r="D65" s="30" t="inlineStr">
        <is>
          <t>文本</t>
        </is>
      </c>
      <c r="E65" s="30" t="inlineStr">
        <is>
          <t>国家统计局/农业农村部/行业机构</t>
        </is>
      </c>
      <c r="F65" s="30" t="inlineStr">
        <is>
          <t>必填</t>
        </is>
      </c>
      <c r="G65" s="30" t="inlineStr">
        <is>
          <t>月度（季度数据也统一落在季度末月份）</t>
        </is>
      </c>
      <c r="H65" s="30" t="inlineStr">
        <is>
          <t>原始</t>
        </is>
      </c>
      <c r="I65" s="30" t="inlineStr">
        <is>
          <t>养殖存栏与供给指标｜月度</t>
        </is>
      </c>
    </row>
    <row r="66">
      <c r="A66" s="30" t="inlineStr">
        <is>
          <t>06养殖月度</t>
        </is>
      </c>
      <c r="B66" s="30" t="inlineStr">
        <is>
          <t>source_url</t>
        </is>
      </c>
      <c r="C66" s="30" t="inlineStr">
        <is>
          <t>来源网址</t>
        </is>
      </c>
      <c r="D66" s="30" t="inlineStr">
        <is>
          <t>文本</t>
        </is>
      </c>
      <c r="E66" s="30" t="inlineStr">
        <is>
          <t>完整URL</t>
        </is>
      </c>
      <c r="F66" s="30" t="inlineStr">
        <is>
          <t>必填</t>
        </is>
      </c>
      <c r="G66" s="30" t="inlineStr">
        <is>
          <t>月度（季度数据也统一落在季度末月份）</t>
        </is>
      </c>
      <c r="H66" s="30" t="inlineStr">
        <is>
          <t>原始</t>
        </is>
      </c>
      <c r="I66" s="30" t="inlineStr">
        <is>
          <t>养殖存栏与供给指标｜月度</t>
        </is>
      </c>
    </row>
    <row r="67">
      <c r="A67" s="30" t="inlineStr">
        <is>
          <t>06养殖月度</t>
        </is>
      </c>
      <c r="B67" s="30" t="inlineStr">
        <is>
          <t>note</t>
        </is>
      </c>
      <c r="C67" s="30" t="inlineStr">
        <is>
          <t>备注</t>
        </is>
      </c>
      <c r="D67" s="30" t="inlineStr">
        <is>
          <t>文本</t>
        </is>
      </c>
      <c r="E67" s="30" t="inlineStr">
        <is>
          <t>月度推算值与季度官方值需区分</t>
        </is>
      </c>
      <c r="F67" s="30" t="inlineStr">
        <is>
          <t>选填</t>
        </is>
      </c>
      <c r="G67" s="30" t="inlineStr">
        <is>
          <t>月度（季度数据也统一落在季度末月份）</t>
        </is>
      </c>
      <c r="H67" s="30" t="inlineStr">
        <is>
          <t>原始</t>
        </is>
      </c>
      <c r="I67" s="30" t="inlineStr">
        <is>
          <t>养殖存栏与供给指标｜月度</t>
        </is>
      </c>
    </row>
    <row r="68">
      <c r="A68" s="30" t="inlineStr">
        <is>
          <t>07价格基差月度</t>
        </is>
      </c>
      <c r="B68" s="30" t="inlineStr">
        <is>
          <t>month</t>
        </is>
      </c>
      <c r="C68" s="30" t="inlineStr">
        <is>
          <t>月份</t>
        </is>
      </c>
      <c r="D68" s="30" t="inlineStr">
        <is>
          <t>日期</t>
        </is>
      </c>
      <c r="E68" s="30" t="inlineStr">
        <is>
          <t>统一填每月1日，格式yyyy-mm</t>
        </is>
      </c>
      <c r="F68" s="30" t="inlineStr">
        <is>
          <t>必填</t>
        </is>
      </c>
      <c r="G68" s="30" t="inlineStr">
        <is>
          <t>月度</t>
        </is>
      </c>
      <c r="H68" s="30" t="inlineStr">
        <is>
          <t>原始</t>
        </is>
      </c>
      <c r="I68" s="30" t="inlineStr">
        <is>
          <t>价格、基差与相关市场｜月度</t>
        </is>
      </c>
    </row>
    <row r="69">
      <c r="A69" s="30" t="inlineStr">
        <is>
          <t>07价格基差月度</t>
        </is>
      </c>
      <c r="B69" s="30" t="inlineStr">
        <is>
          <t>region</t>
        </is>
      </c>
      <c r="C69" s="30" t="inlineStr">
        <is>
          <t>现货区域</t>
        </is>
      </c>
      <c r="D69" s="30" t="inlineStr">
        <is>
          <t>文本</t>
        </is>
      </c>
      <c r="E69" s="30" t="inlineStr">
        <is>
          <t>全国/华东/华南/山东等</t>
        </is>
      </c>
      <c r="F69" s="30" t="inlineStr">
        <is>
          <t>必填</t>
        </is>
      </c>
      <c r="G69" s="30" t="inlineStr">
        <is>
          <t>月度</t>
        </is>
      </c>
      <c r="H69" s="30" t="inlineStr">
        <is>
          <t>原始</t>
        </is>
      </c>
      <c r="I69" s="30" t="inlineStr">
        <is>
          <t>价格、基差与相关市场｜月度</t>
        </is>
      </c>
    </row>
    <row r="70">
      <c r="A70" s="30" t="inlineStr">
        <is>
          <t>07价格基差月度</t>
        </is>
      </c>
      <c r="B70" s="30" t="inlineStr">
        <is>
          <t>dce_soymeal_avg_cny_t</t>
        </is>
      </c>
      <c r="C70" s="30" t="inlineStr">
        <is>
          <t>豆粕期货月均价</t>
        </is>
      </c>
      <c r="D70" s="30" t="inlineStr">
        <is>
          <t>数值</t>
        </is>
      </c>
      <c r="E70" s="30" t="inlineStr">
        <is>
          <t>元/吨；明确主力或指定合约</t>
        </is>
      </c>
      <c r="F70" s="30" t="inlineStr">
        <is>
          <t>必填</t>
        </is>
      </c>
      <c r="G70" s="30" t="inlineStr">
        <is>
          <t>月度</t>
        </is>
      </c>
      <c r="H70" s="30" t="inlineStr">
        <is>
          <t>原始</t>
        </is>
      </c>
      <c r="I70" s="30" t="inlineStr">
        <is>
          <t>价格、基差与相关市场｜月度</t>
        </is>
      </c>
    </row>
    <row r="71">
      <c r="A71" s="30" t="inlineStr">
        <is>
          <t>07价格基差月度</t>
        </is>
      </c>
      <c r="B71" s="30" t="inlineStr">
        <is>
          <t>dce_soymeal_month_end_cny_t</t>
        </is>
      </c>
      <c r="C71" s="30" t="inlineStr">
        <is>
          <t>豆粕期货月末价</t>
        </is>
      </c>
      <c r="D71" s="30" t="inlineStr">
        <is>
          <t>数值</t>
        </is>
      </c>
      <c r="E71" s="30" t="inlineStr">
        <is>
          <t>元/吨</t>
        </is>
      </c>
      <c r="F71" s="30" t="inlineStr">
        <is>
          <t>必填</t>
        </is>
      </c>
      <c r="G71" s="30" t="inlineStr">
        <is>
          <t>月度</t>
        </is>
      </c>
      <c r="H71" s="30" t="inlineStr">
        <is>
          <t>原始</t>
        </is>
      </c>
      <c r="I71" s="30" t="inlineStr">
        <is>
          <t>价格、基差与相关市场｜月度</t>
        </is>
      </c>
    </row>
    <row r="72">
      <c r="A72" s="30" t="inlineStr">
        <is>
          <t>07价格基差月度</t>
        </is>
      </c>
      <c r="B72" s="30" t="inlineStr">
        <is>
          <t>soymeal_spot_avg_cny_t</t>
        </is>
      </c>
      <c r="C72" s="30" t="inlineStr">
        <is>
          <t>豆粕现货月均价</t>
        </is>
      </c>
      <c r="D72" s="30" t="inlineStr">
        <is>
          <t>数值</t>
        </is>
      </c>
      <c r="E72" s="30" t="inlineStr">
        <is>
          <t>元/吨</t>
        </is>
      </c>
      <c r="F72" s="30" t="inlineStr">
        <is>
          <t>必填</t>
        </is>
      </c>
      <c r="G72" s="30" t="inlineStr">
        <is>
          <t>月度</t>
        </is>
      </c>
      <c r="H72" s="30" t="inlineStr">
        <is>
          <t>原始</t>
        </is>
      </c>
      <c r="I72" s="30" t="inlineStr">
        <is>
          <t>价格、基差与相关市场｜月度</t>
        </is>
      </c>
    </row>
    <row r="73">
      <c r="A73" s="30" t="inlineStr">
        <is>
          <t>07价格基差月度</t>
        </is>
      </c>
      <c r="B73" s="30" t="inlineStr">
        <is>
          <t>basis_avg_cny_t</t>
        </is>
      </c>
      <c r="C73" s="30" t="inlineStr">
        <is>
          <t>月均基差</t>
        </is>
      </c>
      <c r="D73" s="30" t="inlineStr">
        <is>
          <t>数值</t>
        </is>
      </c>
      <c r="E73" s="30" t="inlineStr">
        <is>
          <t>现货月均价-期货月均价</t>
        </is>
      </c>
      <c r="F73" s="30" t="inlineStr">
        <is>
          <t>自动</t>
        </is>
      </c>
      <c r="G73" s="30" t="inlineStr">
        <is>
          <t>月度</t>
        </is>
      </c>
      <c r="H73" s="30" t="inlineStr">
        <is>
          <t>公式</t>
        </is>
      </c>
      <c r="I73" s="30" t="inlineStr">
        <is>
          <t>价格、基差与相关市场｜月度</t>
        </is>
      </c>
    </row>
    <row r="74">
      <c r="A74" s="30" t="inlineStr">
        <is>
          <t>07价格基差月度</t>
        </is>
      </c>
      <c r="B74" s="30" t="inlineStr">
        <is>
          <t>cbot_soy_avg_uscent_bu</t>
        </is>
      </c>
      <c r="C74" s="30" t="inlineStr">
        <is>
          <t>CBOT大豆月均价</t>
        </is>
      </c>
      <c r="D74" s="30" t="inlineStr">
        <is>
          <t>数值</t>
        </is>
      </c>
      <c r="E74" s="30" t="inlineStr">
        <is>
          <t>美分/蒲式耳</t>
        </is>
      </c>
      <c r="F74" s="30" t="inlineStr">
        <is>
          <t>必填</t>
        </is>
      </c>
      <c r="G74" s="30" t="inlineStr">
        <is>
          <t>月度</t>
        </is>
      </c>
      <c r="H74" s="30" t="inlineStr">
        <is>
          <t>原始</t>
        </is>
      </c>
      <c r="I74" s="30" t="inlineStr">
        <is>
          <t>价格、基差与相关市场｜月度</t>
        </is>
      </c>
    </row>
    <row r="75">
      <c r="A75" s="30" t="inlineStr">
        <is>
          <t>07价格基差月度</t>
        </is>
      </c>
      <c r="B75" s="30" t="inlineStr">
        <is>
          <t>soybean_oil_avg_cny_t</t>
        </is>
      </c>
      <c r="C75" s="30" t="inlineStr">
        <is>
          <t>豆油月均价</t>
        </is>
      </c>
      <c r="D75" s="30" t="inlineStr">
        <is>
          <t>数值</t>
        </is>
      </c>
      <c r="E75" s="30" t="inlineStr">
        <is>
          <t>元/吨</t>
        </is>
      </c>
      <c r="F75" s="30" t="inlineStr">
        <is>
          <t>选填</t>
        </is>
      </c>
      <c r="G75" s="30" t="inlineStr">
        <is>
          <t>月度</t>
        </is>
      </c>
      <c r="H75" s="30" t="inlineStr">
        <is>
          <t>原始</t>
        </is>
      </c>
      <c r="I75" s="30" t="inlineStr">
        <is>
          <t>价格、基差与相关市场｜月度</t>
        </is>
      </c>
    </row>
    <row r="76">
      <c r="A76" s="30" t="inlineStr">
        <is>
          <t>07价格基差月度</t>
        </is>
      </c>
      <c r="B76" s="30" t="inlineStr">
        <is>
          <t>corn_avg_cny_t</t>
        </is>
      </c>
      <c r="C76" s="30" t="inlineStr">
        <is>
          <t>玉米月均价</t>
        </is>
      </c>
      <c r="D76" s="30" t="inlineStr">
        <is>
          <t>数值</t>
        </is>
      </c>
      <c r="E76" s="30" t="inlineStr">
        <is>
          <t>元/吨</t>
        </is>
      </c>
      <c r="F76" s="30" t="inlineStr">
        <is>
          <t>选填</t>
        </is>
      </c>
      <c r="G76" s="30" t="inlineStr">
        <is>
          <t>月度</t>
        </is>
      </c>
      <c r="H76" s="30" t="inlineStr">
        <is>
          <t>原始</t>
        </is>
      </c>
      <c r="I76" s="30" t="inlineStr">
        <is>
          <t>价格、基差与相关市场｜月度</t>
        </is>
      </c>
    </row>
    <row r="77">
      <c r="A77" s="30" t="inlineStr">
        <is>
          <t>07价格基差月度</t>
        </is>
      </c>
      <c r="B77" s="30" t="inlineStr">
        <is>
          <t>usd_cny_avg</t>
        </is>
      </c>
      <c r="C77" s="30" t="inlineStr">
        <is>
          <t>美元兑人民币月均汇率</t>
        </is>
      </c>
      <c r="D77" s="30" t="inlineStr">
        <is>
          <t>数值</t>
        </is>
      </c>
      <c r="E77" s="30" t="inlineStr">
        <is>
          <t>人民币/美元</t>
        </is>
      </c>
      <c r="F77" s="30" t="inlineStr">
        <is>
          <t>必填</t>
        </is>
      </c>
      <c r="G77" s="30" t="inlineStr">
        <is>
          <t>月度</t>
        </is>
      </c>
      <c r="H77" s="30" t="inlineStr">
        <is>
          <t>原始</t>
        </is>
      </c>
      <c r="I77" s="30" t="inlineStr">
        <is>
          <t>价格、基差与相关市场｜月度</t>
        </is>
      </c>
    </row>
    <row r="78">
      <c r="A78" s="30" t="inlineStr">
        <is>
          <t>07价格基差月度</t>
        </is>
      </c>
      <c r="B78" s="30" t="inlineStr">
        <is>
          <t>ocean_freight_usd_t</t>
        </is>
      </c>
      <c r="C78" s="30" t="inlineStr">
        <is>
          <t>海运费月均值</t>
        </is>
      </c>
      <c r="D78" s="30" t="inlineStr">
        <is>
          <t>数值</t>
        </is>
      </c>
      <c r="E78" s="30" t="inlineStr">
        <is>
          <t>美元/吨</t>
        </is>
      </c>
      <c r="F78" s="30" t="inlineStr">
        <is>
          <t>选填</t>
        </is>
      </c>
      <c r="G78" s="30" t="inlineStr">
        <is>
          <t>月度</t>
        </is>
      </c>
      <c r="H78" s="30" t="inlineStr">
        <is>
          <t>原始</t>
        </is>
      </c>
      <c r="I78" s="30" t="inlineStr">
        <is>
          <t>价格、基差与相关市场｜月度</t>
        </is>
      </c>
    </row>
    <row r="79">
      <c r="A79" s="30" t="inlineStr">
        <is>
          <t>07价格基差月度</t>
        </is>
      </c>
      <c r="B79" s="30" t="inlineStr">
        <is>
          <t>source_url</t>
        </is>
      </c>
      <c r="C79" s="30" t="inlineStr">
        <is>
          <t>来源网址</t>
        </is>
      </c>
      <c r="D79" s="30" t="inlineStr">
        <is>
          <t>文本</t>
        </is>
      </c>
      <c r="E79" s="30" t="inlineStr">
        <is>
          <t>完整URL或行情终端名称</t>
        </is>
      </c>
      <c r="F79" s="30" t="inlineStr">
        <is>
          <t>必填</t>
        </is>
      </c>
      <c r="G79" s="30" t="inlineStr">
        <is>
          <t>月度</t>
        </is>
      </c>
      <c r="H79" s="30" t="inlineStr">
        <is>
          <t>原始</t>
        </is>
      </c>
      <c r="I79" s="30" t="inlineStr">
        <is>
          <t>价格、基差与相关市场｜月度</t>
        </is>
      </c>
    </row>
    <row r="80">
      <c r="A80" s="30" t="inlineStr">
        <is>
          <t>07价格基差月度</t>
        </is>
      </c>
      <c r="B80" s="30" t="inlineStr">
        <is>
          <t>note</t>
        </is>
      </c>
      <c r="C80" s="30" t="inlineStr">
        <is>
          <t>备注</t>
        </is>
      </c>
      <c r="D80" s="30" t="inlineStr">
        <is>
          <t>文本</t>
        </is>
      </c>
      <c r="E80" s="30" t="inlineStr">
        <is>
          <t>合约切换规则必须注明</t>
        </is>
      </c>
      <c r="F80" s="30" t="inlineStr">
        <is>
          <t>选填</t>
        </is>
      </c>
      <c r="G80" s="30" t="inlineStr">
        <is>
          <t>月度</t>
        </is>
      </c>
      <c r="H80" s="30" t="inlineStr">
        <is>
          <t>原始</t>
        </is>
      </c>
      <c r="I80" s="30" t="inlineStr">
        <is>
          <t>价格、基差与相关市场｜月度</t>
        </is>
      </c>
    </row>
    <row r="81">
      <c r="A81" s="30" t="inlineStr">
        <is>
          <t>08成本利润月度</t>
        </is>
      </c>
      <c r="B81" s="30" t="inlineStr">
        <is>
          <t>month</t>
        </is>
      </c>
      <c r="C81" s="30" t="inlineStr">
        <is>
          <t>月份</t>
        </is>
      </c>
      <c r="D81" s="30" t="inlineStr">
        <is>
          <t>日期</t>
        </is>
      </c>
      <c r="E81" s="30" t="inlineStr">
        <is>
          <t>统一填每月1日，格式yyyy-mm</t>
        </is>
      </c>
      <c r="F81" s="30" t="inlineStr">
        <is>
          <t>必填</t>
        </is>
      </c>
      <c r="G81" s="30" t="inlineStr">
        <is>
          <t>月度</t>
        </is>
      </c>
      <c r="H81" s="30" t="inlineStr">
        <is>
          <t>原始</t>
        </is>
      </c>
      <c r="I81" s="30" t="inlineStr">
        <is>
          <t>进口成本、压榨利润与养殖利润｜月度</t>
        </is>
      </c>
    </row>
    <row r="82">
      <c r="A82" s="30" t="inlineStr">
        <is>
          <t>08成本利润月度</t>
        </is>
      </c>
      <c r="B82" s="30" t="inlineStr">
        <is>
          <t>origin</t>
        </is>
      </c>
      <c r="C82" s="30" t="inlineStr">
        <is>
          <t>大豆来源</t>
        </is>
      </c>
      <c r="D82" s="30" t="inlineStr">
        <is>
          <t>文本</t>
        </is>
      </c>
      <c r="E82" s="30" t="inlineStr">
        <is>
          <t>美湾/巴西/阿根廷/国内</t>
        </is>
      </c>
      <c r="F82" s="30" t="inlineStr">
        <is>
          <t>必填</t>
        </is>
      </c>
      <c r="G82" s="30" t="inlineStr">
        <is>
          <t>月度</t>
        </is>
      </c>
      <c r="H82" s="30" t="inlineStr">
        <is>
          <t>原始</t>
        </is>
      </c>
      <c r="I82" s="30" t="inlineStr">
        <is>
          <t>进口成本、压榨利润与养殖利润｜月度</t>
        </is>
      </c>
    </row>
    <row r="83">
      <c r="A83" s="30" t="inlineStr">
        <is>
          <t>08成本利润月度</t>
        </is>
      </c>
      <c r="B83" s="30" t="inlineStr">
        <is>
          <t>soy_landed_cost_cny_t</t>
        </is>
      </c>
      <c r="C83" s="30" t="inlineStr">
        <is>
          <t>大豆到岸完税成本</t>
        </is>
      </c>
      <c r="D83" s="30" t="inlineStr">
        <is>
          <t>数值</t>
        </is>
      </c>
      <c r="E83" s="30" t="inlineStr">
        <is>
          <t>元/吨</t>
        </is>
      </c>
      <c r="F83" s="30" t="inlineStr">
        <is>
          <t>必填</t>
        </is>
      </c>
      <c r="G83" s="30" t="inlineStr">
        <is>
          <t>月度</t>
        </is>
      </c>
      <c r="H83" s="30" t="inlineStr">
        <is>
          <t>原始</t>
        </is>
      </c>
      <c r="I83" s="30" t="inlineStr">
        <is>
          <t>进口成本、压榨利润与养殖利润｜月度</t>
        </is>
      </c>
    </row>
    <row r="84">
      <c r="A84" s="30" t="inlineStr">
        <is>
          <t>08成本利润月度</t>
        </is>
      </c>
      <c r="B84" s="30" t="inlineStr">
        <is>
          <t>soymeal_price_cny_t</t>
        </is>
      </c>
      <c r="C84" s="30" t="inlineStr">
        <is>
          <t>豆粕销售价格</t>
        </is>
      </c>
      <c r="D84" s="30" t="inlineStr">
        <is>
          <t>数值</t>
        </is>
      </c>
      <c r="E84" s="30" t="inlineStr">
        <is>
          <t>元/吨；月均</t>
        </is>
      </c>
      <c r="F84" s="30" t="inlineStr">
        <is>
          <t>必填</t>
        </is>
      </c>
      <c r="G84" s="30" t="inlineStr">
        <is>
          <t>月度</t>
        </is>
      </c>
      <c r="H84" s="30" t="inlineStr">
        <is>
          <t>原始</t>
        </is>
      </c>
      <c r="I84" s="30" t="inlineStr">
        <is>
          <t>进口成本、压榨利润与养殖利润｜月度</t>
        </is>
      </c>
    </row>
    <row r="85">
      <c r="A85" s="30" t="inlineStr">
        <is>
          <t>08成本利润月度</t>
        </is>
      </c>
      <c r="B85" s="30" t="inlineStr">
        <is>
          <t>soyoil_price_cny_t</t>
        </is>
      </c>
      <c r="C85" s="30" t="inlineStr">
        <is>
          <t>豆油销售价格</t>
        </is>
      </c>
      <c r="D85" s="30" t="inlineStr">
        <is>
          <t>数值</t>
        </is>
      </c>
      <c r="E85" s="30" t="inlineStr">
        <is>
          <t>元/吨；月均</t>
        </is>
      </c>
      <c r="F85" s="30" t="inlineStr">
        <is>
          <t>必填</t>
        </is>
      </c>
      <c r="G85" s="30" t="inlineStr">
        <is>
          <t>月度</t>
        </is>
      </c>
      <c r="H85" s="30" t="inlineStr">
        <is>
          <t>原始</t>
        </is>
      </c>
      <c r="I85" s="30" t="inlineStr">
        <is>
          <t>进口成本、压榨利润与养殖利润｜月度</t>
        </is>
      </c>
    </row>
    <row r="86">
      <c r="A86" s="30" t="inlineStr">
        <is>
          <t>08成本利润月度</t>
        </is>
      </c>
      <c r="B86" s="30" t="inlineStr">
        <is>
          <t>meal_yield_pct</t>
        </is>
      </c>
      <c r="C86" s="30" t="inlineStr">
        <is>
          <t>豆粕得率</t>
        </is>
      </c>
      <c r="D86" s="30" t="inlineStr">
        <is>
          <t>百分比</t>
        </is>
      </c>
      <c r="E86" s="30" t="inlineStr">
        <is>
          <t>例如79.0%</t>
        </is>
      </c>
      <c r="F86" s="30" t="inlineStr">
        <is>
          <t>必填</t>
        </is>
      </c>
      <c r="G86" s="30" t="inlineStr">
        <is>
          <t>月度</t>
        </is>
      </c>
      <c r="H86" s="30" t="inlineStr">
        <is>
          <t>假设</t>
        </is>
      </c>
      <c r="I86" s="30" t="inlineStr">
        <is>
          <t>进口成本、压榨利润与养殖利润｜月度</t>
        </is>
      </c>
    </row>
    <row r="87">
      <c r="A87" s="30" t="inlineStr">
        <is>
          <t>08成本利润月度</t>
        </is>
      </c>
      <c r="B87" s="30" t="inlineStr">
        <is>
          <t>oil_yield_pct</t>
        </is>
      </c>
      <c r="C87" s="30" t="inlineStr">
        <is>
          <t>豆油得率</t>
        </is>
      </c>
      <c r="D87" s="30" t="inlineStr">
        <is>
          <t>百分比</t>
        </is>
      </c>
      <c r="E87" s="30" t="inlineStr">
        <is>
          <t>例如18.5%</t>
        </is>
      </c>
      <c r="F87" s="30" t="inlineStr">
        <is>
          <t>必填</t>
        </is>
      </c>
      <c r="G87" s="30" t="inlineStr">
        <is>
          <t>月度</t>
        </is>
      </c>
      <c r="H87" s="30" t="inlineStr">
        <is>
          <t>假设</t>
        </is>
      </c>
      <c r="I87" s="30" t="inlineStr">
        <is>
          <t>进口成本、压榨利润与养殖利润｜月度</t>
        </is>
      </c>
    </row>
    <row r="88">
      <c r="A88" s="30" t="inlineStr">
        <is>
          <t>08成本利润月度</t>
        </is>
      </c>
      <c r="B88" s="30" t="inlineStr">
        <is>
          <t>other_cost_cny_t</t>
        </is>
      </c>
      <c r="C88" s="30" t="inlineStr">
        <is>
          <t>加工及其他成本</t>
        </is>
      </c>
      <c r="D88" s="30" t="inlineStr">
        <is>
          <t>数值</t>
        </is>
      </c>
      <c r="E88" s="30" t="inlineStr">
        <is>
          <t>元/吨大豆</t>
        </is>
      </c>
      <c r="F88" s="30" t="inlineStr">
        <is>
          <t>必填</t>
        </is>
      </c>
      <c r="G88" s="30" t="inlineStr">
        <is>
          <t>月度</t>
        </is>
      </c>
      <c r="H88" s="30" t="inlineStr">
        <is>
          <t>假设</t>
        </is>
      </c>
      <c r="I88" s="30" t="inlineStr">
        <is>
          <t>进口成本、压榨利润与养殖利润｜月度</t>
        </is>
      </c>
    </row>
    <row r="89">
      <c r="A89" s="30" t="inlineStr">
        <is>
          <t>08成本利润月度</t>
        </is>
      </c>
      <c r="B89" s="30" t="inlineStr">
        <is>
          <t>crush_revenue_cny_t</t>
        </is>
      </c>
      <c r="C89" s="30" t="inlineStr">
        <is>
          <t>压榨收入</t>
        </is>
      </c>
      <c r="D89" s="30" t="inlineStr">
        <is>
          <t>数值</t>
        </is>
      </c>
      <c r="E89" s="30" t="inlineStr">
        <is>
          <t>豆粕价×粕得率+豆油价×油得率</t>
        </is>
      </c>
      <c r="F89" s="30" t="inlineStr">
        <is>
          <t>自动</t>
        </is>
      </c>
      <c r="G89" s="30" t="inlineStr">
        <is>
          <t>月度</t>
        </is>
      </c>
      <c r="H89" s="30" t="inlineStr">
        <is>
          <t>公式</t>
        </is>
      </c>
      <c r="I89" s="30" t="inlineStr">
        <is>
          <t>进口成本、压榨利润与养殖利润｜月度</t>
        </is>
      </c>
    </row>
    <row r="90">
      <c r="A90" s="30" t="inlineStr">
        <is>
          <t>08成本利润月度</t>
        </is>
      </c>
      <c r="B90" s="30" t="inlineStr">
        <is>
          <t>crush_margin_cny_t</t>
        </is>
      </c>
      <c r="C90" s="30" t="inlineStr">
        <is>
          <t>压榨利润</t>
        </is>
      </c>
      <c r="D90" s="30" t="inlineStr">
        <is>
          <t>数值</t>
        </is>
      </c>
      <c r="E90" s="30" t="inlineStr">
        <is>
          <t>压榨收入-大豆成本-其他成本</t>
        </is>
      </c>
      <c r="F90" s="30" t="inlineStr">
        <is>
          <t>自动</t>
        </is>
      </c>
      <c r="G90" s="30" t="inlineStr">
        <is>
          <t>月度</t>
        </is>
      </c>
      <c r="H90" s="30" t="inlineStr">
        <is>
          <t>公式</t>
        </is>
      </c>
      <c r="I90" s="30" t="inlineStr">
        <is>
          <t>进口成本、压榨利润与养殖利润｜月度</t>
        </is>
      </c>
    </row>
    <row r="91">
      <c r="A91" s="30" t="inlineStr">
        <is>
          <t>08成本利润月度</t>
        </is>
      </c>
      <c r="B91" s="30" t="inlineStr">
        <is>
          <t>hog_profit_cny_head</t>
        </is>
      </c>
      <c r="C91" s="30" t="inlineStr">
        <is>
          <t>生猪养殖利润</t>
        </is>
      </c>
      <c r="D91" s="30" t="inlineStr">
        <is>
          <t>数值</t>
        </is>
      </c>
      <c r="E91" s="30" t="inlineStr">
        <is>
          <t>元/头；月均</t>
        </is>
      </c>
      <c r="F91" s="30" t="inlineStr">
        <is>
          <t>选填</t>
        </is>
      </c>
      <c r="G91" s="30" t="inlineStr">
        <is>
          <t>月度</t>
        </is>
      </c>
      <c r="H91" s="30" t="inlineStr">
        <is>
          <t>原始</t>
        </is>
      </c>
      <c r="I91" s="30" t="inlineStr">
        <is>
          <t>进口成本、压榨利润与养殖利润｜月度</t>
        </is>
      </c>
    </row>
    <row r="92">
      <c r="A92" s="30" t="inlineStr">
        <is>
          <t>08成本利润月度</t>
        </is>
      </c>
      <c r="B92" s="30" t="inlineStr">
        <is>
          <t>broiler_profit_cny_bird</t>
        </is>
      </c>
      <c r="C92" s="30" t="inlineStr">
        <is>
          <t>肉鸡养殖利润</t>
        </is>
      </c>
      <c r="D92" s="30" t="inlineStr">
        <is>
          <t>数值</t>
        </is>
      </c>
      <c r="E92" s="30" t="inlineStr">
        <is>
          <t>元/羽；月均</t>
        </is>
      </c>
      <c r="F92" s="30" t="inlineStr">
        <is>
          <t>选填</t>
        </is>
      </c>
      <c r="G92" s="30" t="inlineStr">
        <is>
          <t>月度</t>
        </is>
      </c>
      <c r="H92" s="30" t="inlineStr">
        <is>
          <t>原始</t>
        </is>
      </c>
      <c r="I92" s="30" t="inlineStr">
        <is>
          <t>进口成本、压榨利润与养殖利润｜月度</t>
        </is>
      </c>
    </row>
    <row r="93">
      <c r="A93" s="30" t="inlineStr">
        <is>
          <t>08成本利润月度</t>
        </is>
      </c>
      <c r="B93" s="30" t="inlineStr">
        <is>
          <t>layer_profit_cny_bird</t>
        </is>
      </c>
      <c r="C93" s="30" t="inlineStr">
        <is>
          <t>蛋鸡养殖利润</t>
        </is>
      </c>
      <c r="D93" s="30" t="inlineStr">
        <is>
          <t>数值</t>
        </is>
      </c>
      <c r="E93" s="30" t="inlineStr">
        <is>
          <t>元/羽；月均</t>
        </is>
      </c>
      <c r="F93" s="30" t="inlineStr">
        <is>
          <t>选填</t>
        </is>
      </c>
      <c r="G93" s="30" t="inlineStr">
        <is>
          <t>月度</t>
        </is>
      </c>
      <c r="H93" s="30" t="inlineStr">
        <is>
          <t>原始</t>
        </is>
      </c>
      <c r="I93" s="30" t="inlineStr">
        <is>
          <t>进口成本、压榨利润与养殖利润｜月度</t>
        </is>
      </c>
    </row>
    <row r="94">
      <c r="A94" s="30" t="inlineStr">
        <is>
          <t>08成本利润月度</t>
        </is>
      </c>
      <c r="B94" s="30" t="inlineStr">
        <is>
          <t>source_url</t>
        </is>
      </c>
      <c r="C94" s="30" t="inlineStr">
        <is>
          <t>来源网址</t>
        </is>
      </c>
      <c r="D94" s="30" t="inlineStr">
        <is>
          <t>文本</t>
        </is>
      </c>
      <c r="E94" s="30" t="inlineStr">
        <is>
          <t>完整URL或终端名称</t>
        </is>
      </c>
      <c r="F94" s="30" t="inlineStr">
        <is>
          <t>必填</t>
        </is>
      </c>
      <c r="G94" s="30" t="inlineStr">
        <is>
          <t>月度</t>
        </is>
      </c>
      <c r="H94" s="30" t="inlineStr">
        <is>
          <t>原始</t>
        </is>
      </c>
      <c r="I94" s="30" t="inlineStr">
        <is>
          <t>进口成本、压榨利润与养殖利润｜月度</t>
        </is>
      </c>
    </row>
    <row r="95">
      <c r="A95" s="30" t="inlineStr">
        <is>
          <t>08成本利润月度</t>
        </is>
      </c>
      <c r="B95" s="30" t="inlineStr">
        <is>
          <t>note</t>
        </is>
      </c>
      <c r="C95" s="30" t="inlineStr">
        <is>
          <t>备注</t>
        </is>
      </c>
      <c r="D95" s="30" t="inlineStr">
        <is>
          <t>文本</t>
        </is>
      </c>
      <c r="E95" s="30" t="inlineStr">
        <is>
          <t>成本项目与得率假设需保持一致</t>
        </is>
      </c>
      <c r="F95" s="30" t="inlineStr">
        <is>
          <t>选填</t>
        </is>
      </c>
      <c r="G95" s="30" t="inlineStr">
        <is>
          <t>月度</t>
        </is>
      </c>
      <c r="H95" s="30" t="inlineStr">
        <is>
          <t>原始</t>
        </is>
      </c>
      <c r="I95" s="30" t="inlineStr">
        <is>
          <t>进口成本、压榨利润与养殖利润｜月度</t>
        </is>
      </c>
    </row>
  </sheetData>
  <mergeCells count="1">
    <mergeCell ref="A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20" customWidth="1" min="3" max="3"/>
    <col width="24" customWidth="1" min="4" max="4"/>
    <col width="25" customWidth="1" min="5" max="5"/>
    <col width="52" customWidth="1" min="6" max="6"/>
  </cols>
  <sheetData>
    <row r="1">
      <c r="A1" s="3" t="inlineStr">
        <is>
          <t>数据源与统一口径</t>
        </is>
      </c>
    </row>
    <row r="2"/>
    <row r="4" ht="34" customHeight="1">
      <c r="A4" s="6" t="inlineStr">
        <is>
          <t>数据源</t>
        </is>
      </c>
      <c r="B4" s="6" t="inlineStr">
        <is>
          <t>需要采集的内容</t>
        </is>
      </c>
      <c r="C4" s="6" t="inlineStr">
        <is>
          <t>建议频率</t>
        </is>
      </c>
      <c r="D4" s="6" t="inlineStr">
        <is>
          <t>统一单位</t>
        </is>
      </c>
      <c r="E4" s="6" t="inlineStr">
        <is>
          <t>时间口径</t>
        </is>
      </c>
      <c r="F4" s="6" t="inlineStr">
        <is>
          <t>网址</t>
        </is>
      </c>
    </row>
    <row r="5">
      <c r="A5" s="31" t="inlineStr">
        <is>
          <t>USDA PSD</t>
        </is>
      </c>
      <c r="B5" s="32" t="inlineStr">
        <is>
          <t>全球油籽和豆粕产量、贸易、压榨、消费、库存</t>
        </is>
      </c>
      <c r="C5" s="32" t="inlineStr">
        <is>
          <t>年度/每月修订</t>
        </is>
      </c>
      <c r="D5" s="32" t="inlineStr">
        <is>
          <t>千吨、千公顷</t>
        </is>
      </c>
      <c r="E5" s="32" t="inlineStr">
        <is>
          <t>营销年度</t>
        </is>
      </c>
      <c r="F5" s="33" t="inlineStr">
        <is>
          <t>https://apps.fas.usda.gov/PSDOnlineDataServices/swagger/ui/index</t>
        </is>
      </c>
    </row>
    <row r="6">
      <c r="A6" s="34" t="inlineStr">
        <is>
          <t>USDA NASS</t>
        </is>
      </c>
      <c r="B6" s="35" t="inlineStr">
        <is>
          <t>美国大豆面积、单产、产量</t>
        </is>
      </c>
      <c r="C6" s="35" t="inlineStr">
        <is>
          <t>年度/月度修订</t>
        </is>
      </c>
      <c r="D6" s="35" t="inlineStr">
        <is>
          <t>英亩、蒲式耳/英亩</t>
        </is>
      </c>
      <c r="E6" s="35" t="inlineStr">
        <is>
          <t>自然年/作物年度</t>
        </is>
      </c>
      <c r="F6" s="36" t="inlineStr">
        <is>
          <t>https://quickstats.nass.usda.gov/</t>
        </is>
      </c>
    </row>
    <row r="7">
      <c r="A7" s="34" t="inlineStr">
        <is>
          <t>CONAB</t>
        </is>
      </c>
      <c r="B7" s="35" t="inlineStr">
        <is>
          <t>巴西大豆面积、单产、产量</t>
        </is>
      </c>
      <c r="C7" s="35" t="inlineStr">
        <is>
          <t>年度/月度修订</t>
        </is>
      </c>
      <c r="D7" s="35" t="inlineStr">
        <is>
          <t>千公顷、千吨</t>
        </is>
      </c>
      <c r="E7" s="35" t="inlineStr">
        <is>
          <t>巴西作物年度</t>
        </is>
      </c>
      <c r="F7" s="36" t="inlineStr">
        <is>
          <t>https://www.conab.gov.br/info-agro/safras</t>
        </is>
      </c>
    </row>
    <row r="8">
      <c r="A8" s="34" t="inlineStr">
        <is>
          <t>阿根廷农业部</t>
        </is>
      </c>
      <c r="B8" s="35" t="inlineStr">
        <is>
          <t>阿根廷大豆面积、单产、产量</t>
        </is>
      </c>
      <c r="C8" s="35" t="inlineStr">
        <is>
          <t>年度/月度修订</t>
        </is>
      </c>
      <c r="D8" s="35" t="inlineStr">
        <is>
          <t>公顷、吨</t>
        </is>
      </c>
      <c r="E8" s="35" t="inlineStr">
        <is>
          <t>阿根廷作物年度</t>
        </is>
      </c>
      <c r="F8" s="36" t="inlineStr">
        <is>
          <t>https://www.magyp.gob.ar/sitio/areas/estimaciones/</t>
        </is>
      </c>
    </row>
    <row r="9">
      <c r="A9" s="34" t="inlineStr">
        <is>
          <t>中国海关总署</t>
        </is>
      </c>
      <c r="B9" s="35" t="inlineStr">
        <is>
          <t>大豆进口数量、金额、来源国</t>
        </is>
      </c>
      <c r="C9" s="35" t="inlineStr">
        <is>
          <t>月度</t>
        </is>
      </c>
      <c r="D9" s="35" t="inlineStr">
        <is>
          <t>万吨、亿元或吨、美元</t>
        </is>
      </c>
      <c r="E9" s="35" t="inlineStr">
        <is>
          <t>自然月</t>
        </is>
      </c>
      <c r="F9" s="36" t="inlineStr">
        <is>
          <t>https://english.customs.gov.cn/Statistics/Statistics</t>
        </is>
      </c>
    </row>
    <row r="10">
      <c r="A10" s="34" t="inlineStr">
        <is>
          <t>中国饲料工业协会</t>
        </is>
      </c>
      <c r="B10" s="35" t="inlineStr">
        <is>
          <t>分品种饲料产量</t>
        </is>
      </c>
      <c r="C10" s="35" t="inlineStr">
        <is>
          <t>月度/年度</t>
        </is>
      </c>
      <c r="D10" s="35" t="inlineStr">
        <is>
          <t>万吨</t>
        </is>
      </c>
      <c r="E10" s="35" t="inlineStr">
        <is>
          <t>自然月</t>
        </is>
      </c>
      <c r="F10" s="36" t="inlineStr">
        <is>
          <t>https://www.chinafeed.org.cn/</t>
        </is>
      </c>
    </row>
    <row r="11">
      <c r="A11" s="34" t="inlineStr">
        <is>
          <t>国家统计局</t>
        </is>
      </c>
      <c r="B11" s="35" t="inlineStr">
        <is>
          <t>生猪存栏、出栏等</t>
        </is>
      </c>
      <c r="C11" s="35" t="inlineStr">
        <is>
          <t>季度/年度</t>
        </is>
      </c>
      <c r="D11" s="35" t="inlineStr">
        <is>
          <t>万头</t>
        </is>
      </c>
      <c r="E11" s="35" t="inlineStr">
        <is>
          <t>季度末/年末</t>
        </is>
      </c>
      <c r="F11" s="36" t="inlineStr">
        <is>
          <t>https://data.stats.gov.cn/</t>
        </is>
      </c>
    </row>
    <row r="12">
      <c r="A12" s="34" t="inlineStr">
        <is>
          <t>农业农村部</t>
        </is>
      </c>
      <c r="B12" s="35" t="inlineStr">
        <is>
          <t>能繁母猪、屠宰量、养殖利润等</t>
        </is>
      </c>
      <c r="C12" s="35" t="inlineStr">
        <is>
          <t>月度</t>
        </is>
      </c>
      <c r="D12" s="35" t="inlineStr">
        <is>
          <t>万头、元/头</t>
        </is>
      </c>
      <c r="E12" s="35" t="inlineStr">
        <is>
          <t>自然月</t>
        </is>
      </c>
      <c r="F12" s="36" t="inlineStr">
        <is>
          <t>https://www.moa.gov.cn/ztzl/szcpxx/jdsj/</t>
        </is>
      </c>
    </row>
    <row r="13">
      <c r="A13" s="34" t="inlineStr">
        <is>
          <t>大连商品交易所</t>
        </is>
      </c>
      <c r="B13" s="35" t="inlineStr">
        <is>
          <t>豆粕期货和交割信息</t>
        </is>
      </c>
      <c r="C13" s="35" t="inlineStr">
        <is>
          <t>日度汇总为月度</t>
        </is>
      </c>
      <c r="D13" s="35" t="inlineStr">
        <is>
          <t>元/吨、手</t>
        </is>
      </c>
      <c r="E13" s="35" t="inlineStr">
        <is>
          <t>月均/月末</t>
        </is>
      </c>
      <c r="F13" s="36" t="inlineStr">
        <is>
          <t>https://www.dce.com.cn/</t>
        </is>
      </c>
    </row>
    <row r="14">
      <c r="A14" s="37" t="inlineStr">
        <is>
          <t>行业资讯供应商</t>
        </is>
      </c>
      <c r="B14" s="38" t="inlineStr">
        <is>
          <t>到港、压榨、油厂库存、基差</t>
        </is>
      </c>
      <c r="C14" s="38" t="inlineStr">
        <is>
          <t>周度汇总为月度</t>
        </is>
      </c>
      <c r="D14" s="38" t="inlineStr">
        <is>
          <t>万吨、元/吨</t>
        </is>
      </c>
      <c r="E14" s="38" t="inlineStr">
        <is>
          <t>月合计/月均/月末</t>
        </is>
      </c>
      <c r="F14" s="39" t="inlineStr">
        <is>
          <t>请填写供应商或终端名称</t>
        </is>
      </c>
    </row>
    <row r="15">
      <c r="A15" t="inlineStr">
        <is>
          <t>聚源 Gildata（汇易网）</t>
        </is>
      </c>
      <c r="B15" t="inlineStr">
        <is>
          <t>豆粕/豆油/玉米现货价、港口与油厂库存、分港压榨利润、分来源到岸完税价</t>
        </is>
      </c>
      <c r="C15" t="inlineStr">
        <is>
          <t>日/周→月度</t>
        </is>
      </c>
      <c r="D15" t="inlineStr">
        <is>
          <t>元/吨、万吨</t>
        </is>
      </c>
      <c r="E15" t="inlineStr">
        <is>
          <t>月均/月末</t>
        </is>
      </c>
      <c r="F15" t="inlineStr">
        <is>
          <t>Gildata 插件采集 2026-08-01</t>
        </is>
      </c>
    </row>
    <row r="16">
      <c r="A16" t="inlineStr">
        <is>
          <t>聚源 Gildata（商务部/博亚和讯/涌益/IMF/外汇交易中心）</t>
        </is>
      </c>
      <c r="B16" t="inlineStr">
        <is>
          <t>大豆抵港半月、养殖利润、CBOT 大豆月均、人民币月均汇率</t>
        </is>
      </c>
      <c r="C16" t="inlineStr">
        <is>
          <t>半月/周/月</t>
        </is>
      </c>
      <c r="D16" t="inlineStr">
        <is>
          <t>吨、元/头、美元/吨</t>
        </is>
      </c>
      <c r="E16" t="inlineStr">
        <is>
          <t>月合计/月均</t>
        </is>
      </c>
      <c r="F16" t="inlineStr">
        <is>
          <t>Gildata 插件采集 2026-08-01</t>
        </is>
      </c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2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4" customWidth="1" min="11" max="11"/>
    <col width="24" customWidth="1" min="12" max="12"/>
  </cols>
  <sheetData>
    <row r="1">
      <c r="A1" s="3" t="inlineStr">
        <is>
          <t>全球油籽供需｜年度/营销年度</t>
        </is>
      </c>
    </row>
    <row r="2"/>
    <row r="3">
      <c r="A3" s="41" t="inlineStr">
        <is>
          <t>首选来源：USDA PSD　https://apps.fas.usda.gov/PSDOnlineDataServices/swagger/ui/index</t>
        </is>
      </c>
    </row>
    <row r="4" ht="34" customHeight="1">
      <c r="A4" s="6" t="inlineStr">
        <is>
          <t>营销年度
必填</t>
        </is>
      </c>
      <c r="B4" s="6" t="inlineStr">
        <is>
          <t>数据版本日期
必填</t>
        </is>
      </c>
      <c r="C4" s="6" t="inlineStr">
        <is>
          <t>油籽品种
必填</t>
        </is>
      </c>
      <c r="D4" s="6" t="inlineStr">
        <is>
          <t>国家或地区
必填</t>
        </is>
      </c>
      <c r="E4" s="6" t="inlineStr">
        <is>
          <t>产量
必填</t>
        </is>
      </c>
      <c r="F4" s="6" t="inlineStr">
        <is>
          <t>出口量
必填</t>
        </is>
      </c>
      <c r="G4" s="6" t="inlineStr">
        <is>
          <t>进口量
必填</t>
        </is>
      </c>
      <c r="H4" s="6" t="inlineStr">
        <is>
          <t>压榨量
必填</t>
        </is>
      </c>
      <c r="I4" s="6" t="inlineStr">
        <is>
          <t>国内消费量
选填</t>
        </is>
      </c>
      <c r="J4" s="6" t="inlineStr">
        <is>
          <t>期末库存
选填</t>
        </is>
      </c>
      <c r="K4" s="6" t="inlineStr">
        <is>
          <t>来源网址
必填</t>
        </is>
      </c>
      <c r="L4" s="6" t="inlineStr">
        <is>
          <t>备注
选填</t>
        </is>
      </c>
    </row>
    <row r="5" ht="22" customHeight="1">
      <c r="A5" s="45" t="inlineStr">
        <is>
          <t>2021/22</t>
        </is>
      </c>
      <c r="B5" s="59" t="n">
        <v>46213</v>
      </c>
      <c r="C5" s="45" t="inlineStr">
        <is>
          <t>大豆</t>
        </is>
      </c>
      <c r="D5" s="45" t="inlineStr">
        <is>
          <t>World(国家加总)</t>
        </is>
      </c>
      <c r="E5" s="60" t="n">
        <v>360631</v>
      </c>
      <c r="F5" s="60" t="n">
        <v>154422</v>
      </c>
      <c r="G5" s="60" t="n">
        <v>154767</v>
      </c>
      <c r="H5" s="60" t="n">
        <v>316468</v>
      </c>
      <c r="I5" s="60" t="n">
        <v>366118</v>
      </c>
      <c r="J5" s="60" t="n">
        <v>93697</v>
      </c>
      <c r="K5" s="45" t="inlineStr">
        <is>
          <t>https://apps.fas.usda.gov/psdonline/app/index.html#/app/downloads</t>
        </is>
      </c>
      <c r="L5" s="45" t="inlineStr">
        <is>
          <t>PSD 无 World 行，按国家加总；与 Wind 全球值交叉验证差&lt;0.01%</t>
        </is>
      </c>
    </row>
    <row r="6" ht="22" customHeight="1">
      <c r="A6" s="46" t="inlineStr">
        <is>
          <t>2022/23</t>
        </is>
      </c>
      <c r="B6" s="61" t="n">
        <v>46213</v>
      </c>
      <c r="C6" s="46" t="inlineStr">
        <is>
          <t>大豆</t>
        </is>
      </c>
      <c r="D6" s="46" t="inlineStr">
        <is>
          <t>World(国家加总)</t>
        </is>
      </c>
      <c r="E6" s="62" t="n">
        <v>378210</v>
      </c>
      <c r="F6" s="62" t="n">
        <v>171758</v>
      </c>
      <c r="G6" s="62" t="n">
        <v>168502</v>
      </c>
      <c r="H6" s="62" t="n">
        <v>315767</v>
      </c>
      <c r="I6" s="62" t="n">
        <v>366810</v>
      </c>
      <c r="J6" s="62" t="n">
        <v>101841</v>
      </c>
      <c r="K6" s="46" t="inlineStr">
        <is>
          <t>https://apps.fas.usda.gov/psdonline/app/index.html#/app/downloads</t>
        </is>
      </c>
      <c r="L6" s="46" t="inlineStr">
        <is>
          <t>PSD 无 World 行，按国家加总；与 Wind 全球值交叉验证差&lt;0.01%</t>
        </is>
      </c>
    </row>
    <row r="7" ht="22" customHeight="1">
      <c r="A7" s="46" t="inlineStr">
        <is>
          <t>2023/24</t>
        </is>
      </c>
      <c r="B7" s="61" t="n">
        <v>46213</v>
      </c>
      <c r="C7" s="46" t="inlineStr">
        <is>
          <t>大豆</t>
        </is>
      </c>
      <c r="D7" s="46" t="inlineStr">
        <is>
          <t>World(国家加总)</t>
        </is>
      </c>
      <c r="E7" s="62" t="n">
        <v>396448</v>
      </c>
      <c r="F7" s="62" t="n">
        <v>177846</v>
      </c>
      <c r="G7" s="62" t="n">
        <v>178499</v>
      </c>
      <c r="H7" s="62" t="n">
        <v>331245</v>
      </c>
      <c r="I7" s="62" t="n">
        <v>383843</v>
      </c>
      <c r="J7" s="62" t="n">
        <v>115099</v>
      </c>
      <c r="K7" s="46" t="inlineStr">
        <is>
          <t>https://apps.fas.usda.gov/psdonline/app/index.html#/app/downloads</t>
        </is>
      </c>
      <c r="L7" s="46" t="inlineStr">
        <is>
          <t>PSD 无 World 行，按国家加总；与 Wind 全球值交叉验证差&lt;0.01%</t>
        </is>
      </c>
    </row>
    <row r="8" ht="22" customHeight="1">
      <c r="A8" s="46" t="inlineStr">
        <is>
          <t>2024/25</t>
        </is>
      </c>
      <c r="B8" s="61" t="n">
        <v>46213</v>
      </c>
      <c r="C8" s="46" t="inlineStr">
        <is>
          <t>大豆</t>
        </is>
      </c>
      <c r="D8" s="46" t="inlineStr">
        <is>
          <t>World(国家加总)</t>
        </is>
      </c>
      <c r="E8" s="62" t="n">
        <v>428046</v>
      </c>
      <c r="F8" s="62" t="n">
        <v>184330</v>
      </c>
      <c r="G8" s="62" t="n">
        <v>179146</v>
      </c>
      <c r="H8" s="62" t="n">
        <v>359136</v>
      </c>
      <c r="I8" s="62" t="n">
        <v>412028</v>
      </c>
      <c r="J8" s="62" t="n">
        <v>125933</v>
      </c>
      <c r="K8" s="46" t="inlineStr">
        <is>
          <t>https://apps.fas.usda.gov/psdonline/app/index.html#/app/downloads</t>
        </is>
      </c>
      <c r="L8" s="46" t="inlineStr">
        <is>
          <t>PSD 无 World 行，按国家加总；与 Wind 全球值交叉验证差&lt;0.01%</t>
        </is>
      </c>
    </row>
    <row r="9" ht="22" customHeight="1">
      <c r="A9" s="46" t="inlineStr">
        <is>
          <t>2025/26</t>
        </is>
      </c>
      <c r="B9" s="61" t="n">
        <v>46213</v>
      </c>
      <c r="C9" s="46" t="inlineStr">
        <is>
          <t>大豆</t>
        </is>
      </c>
      <c r="D9" s="46" t="inlineStr">
        <is>
          <t>World(国家加总)</t>
        </is>
      </c>
      <c r="E9" s="62" t="n">
        <v>429461</v>
      </c>
      <c r="F9" s="62" t="n">
        <v>187078</v>
      </c>
      <c r="G9" s="62" t="n">
        <v>186342</v>
      </c>
      <c r="H9" s="62" t="n">
        <v>372486</v>
      </c>
      <c r="I9" s="62" t="n">
        <v>429333</v>
      </c>
      <c r="J9" s="62" t="n">
        <v>125325</v>
      </c>
      <c r="K9" s="46" t="inlineStr">
        <is>
          <t>https://apps.fas.usda.gov/psdonline/app/index.html#/app/downloads</t>
        </is>
      </c>
      <c r="L9" s="46" t="inlineStr">
        <is>
          <t>PSD 无 World 行，按国家加总；与 Wind 全球值交叉验证差&lt;0.01%</t>
        </is>
      </c>
    </row>
    <row r="10" ht="22" customHeight="1">
      <c r="A10" s="46" t="inlineStr">
        <is>
          <t>2021/22</t>
        </is>
      </c>
      <c r="B10" s="61" t="n">
        <v>46213</v>
      </c>
      <c r="C10" s="46" t="inlineStr">
        <is>
          <t>菜籽</t>
        </is>
      </c>
      <c r="D10" s="46" t="inlineStr">
        <is>
          <t>World(国家加总)</t>
        </is>
      </c>
      <c r="E10" s="62" t="n">
        <v>76648</v>
      </c>
      <c r="F10" s="62" t="n">
        <v>15002</v>
      </c>
      <c r="G10" s="62" t="n">
        <v>13887</v>
      </c>
      <c r="H10" s="62" t="n">
        <v>72012</v>
      </c>
      <c r="I10" s="62" t="n">
        <v>76024</v>
      </c>
      <c r="J10" s="62" t="n">
        <v>7330</v>
      </c>
      <c r="K10" s="46" t="inlineStr">
        <is>
          <t>https://apps.fas.usda.gov/psdonline/app/index.html#/app/downloads</t>
        </is>
      </c>
      <c r="L10" s="46" t="inlineStr">
        <is>
          <t>PSD 无 World 行，按国家加总</t>
        </is>
      </c>
    </row>
    <row r="11" ht="22" customHeight="1">
      <c r="A11" s="46" t="inlineStr">
        <is>
          <t>2022/23</t>
        </is>
      </c>
      <c r="B11" s="61" t="n">
        <v>46213</v>
      </c>
      <c r="C11" s="46" t="inlineStr">
        <is>
          <t>菜籽</t>
        </is>
      </c>
      <c r="D11" s="46" t="inlineStr">
        <is>
          <t>World(国家加总)</t>
        </is>
      </c>
      <c r="E11" s="62" t="n">
        <v>89858</v>
      </c>
      <c r="F11" s="62" t="n">
        <v>19800</v>
      </c>
      <c r="G11" s="62" t="n">
        <v>20065</v>
      </c>
      <c r="H11" s="62" t="n">
        <v>82107</v>
      </c>
      <c r="I11" s="62" t="n">
        <v>86457</v>
      </c>
      <c r="J11" s="62" t="n">
        <v>10996</v>
      </c>
      <c r="K11" s="46" t="inlineStr">
        <is>
          <t>https://apps.fas.usda.gov/psdonline/app/index.html#/app/downloads</t>
        </is>
      </c>
      <c r="L11" s="46" t="inlineStr">
        <is>
          <t>PSD 无 World 行，按国家加总</t>
        </is>
      </c>
    </row>
    <row r="12" ht="22" customHeight="1">
      <c r="A12" s="46" t="inlineStr">
        <is>
          <t>2023/24</t>
        </is>
      </c>
      <c r="B12" s="61" t="n">
        <v>46213</v>
      </c>
      <c r="C12" s="46" t="inlineStr">
        <is>
          <t>菜籽</t>
        </is>
      </c>
      <c r="D12" s="46" t="inlineStr">
        <is>
          <t>World(国家加总)</t>
        </is>
      </c>
      <c r="E12" s="62" t="n">
        <v>89974</v>
      </c>
      <c r="F12" s="62" t="n">
        <v>18556</v>
      </c>
      <c r="G12" s="62" t="n">
        <v>18260</v>
      </c>
      <c r="H12" s="62" t="n">
        <v>84679</v>
      </c>
      <c r="I12" s="62" t="n">
        <v>88729</v>
      </c>
      <c r="J12" s="62" t="n">
        <v>11945</v>
      </c>
      <c r="K12" s="46" t="inlineStr">
        <is>
          <t>https://apps.fas.usda.gov/psdonline/app/index.html#/app/downloads</t>
        </is>
      </c>
      <c r="L12" s="46" t="inlineStr">
        <is>
          <t>PSD 无 World 行，按国家加总</t>
        </is>
      </c>
    </row>
    <row r="13" ht="22" customHeight="1">
      <c r="A13" s="46" t="inlineStr">
        <is>
          <t>2024/25</t>
        </is>
      </c>
      <c r="B13" s="61" t="n">
        <v>46213</v>
      </c>
      <c r="C13" s="46" t="inlineStr">
        <is>
          <t>菜籽</t>
        </is>
      </c>
      <c r="D13" s="46" t="inlineStr">
        <is>
          <t>World(国家加总)</t>
        </is>
      </c>
      <c r="E13" s="62" t="n">
        <v>86285</v>
      </c>
      <c r="F13" s="62" t="n">
        <v>19823</v>
      </c>
      <c r="G13" s="62" t="n">
        <v>19998</v>
      </c>
      <c r="H13" s="62" t="n">
        <v>84627</v>
      </c>
      <c r="I13" s="62" t="n">
        <v>88464</v>
      </c>
      <c r="J13" s="62" t="n">
        <v>9941</v>
      </c>
      <c r="K13" s="46" t="inlineStr">
        <is>
          <t>https://apps.fas.usda.gov/psdonline/app/index.html#/app/downloads</t>
        </is>
      </c>
      <c r="L13" s="46" t="inlineStr">
        <is>
          <t>PSD 无 World 行，按国家加总</t>
        </is>
      </c>
    </row>
    <row r="14" ht="22" customHeight="1">
      <c r="A14" s="46" t="inlineStr">
        <is>
          <t>2025/26</t>
        </is>
      </c>
      <c r="B14" s="61" t="n">
        <v>46213</v>
      </c>
      <c r="C14" s="46" t="inlineStr">
        <is>
          <t>菜籽</t>
        </is>
      </c>
      <c r="D14" s="46" t="inlineStr">
        <is>
          <t>World(国家加总)</t>
        </is>
      </c>
      <c r="E14" s="62" t="n">
        <v>95567</v>
      </c>
      <c r="F14" s="62" t="n">
        <v>18538</v>
      </c>
      <c r="G14" s="62" t="n">
        <v>18074</v>
      </c>
      <c r="H14" s="62" t="n">
        <v>89233</v>
      </c>
      <c r="I14" s="62" t="n">
        <v>93497</v>
      </c>
      <c r="J14" s="62" t="n">
        <v>11547</v>
      </c>
      <c r="K14" s="46" t="inlineStr">
        <is>
          <t>https://apps.fas.usda.gov/psdonline/app/index.html#/app/downloads</t>
        </is>
      </c>
      <c r="L14" s="46" t="inlineStr">
        <is>
          <t>PSD 无 World 行，按国家加总</t>
        </is>
      </c>
    </row>
    <row r="15" ht="22" customHeight="1">
      <c r="A15" s="46" t="inlineStr">
        <is>
          <t>2021/22</t>
        </is>
      </c>
      <c r="B15" s="61" t="n">
        <v>46213</v>
      </c>
      <c r="C15" s="46" t="inlineStr">
        <is>
          <t>葵花籽</t>
        </is>
      </c>
      <c r="D15" s="46" t="inlineStr">
        <is>
          <t>World(国家加总)</t>
        </is>
      </c>
      <c r="E15" s="62" t="n">
        <v>56858</v>
      </c>
      <c r="F15" s="62" t="n">
        <v>3943</v>
      </c>
      <c r="G15" s="62" t="n">
        <v>3825</v>
      </c>
      <c r="H15" s="62" t="n">
        <v>46692</v>
      </c>
      <c r="I15" s="62" t="n">
        <v>51330</v>
      </c>
      <c r="J15" s="62" t="n">
        <v>7815</v>
      </c>
      <c r="K15" s="46" t="inlineStr">
        <is>
          <t>https://apps.fas.usda.gov/psdonline/app/index.html#/app/downloads</t>
        </is>
      </c>
      <c r="L15" s="46" t="inlineStr">
        <is>
          <t>PSD 无 World 行，按国家加总</t>
        </is>
      </c>
    </row>
    <row r="16" ht="22" customHeight="1">
      <c r="A16" s="46" t="inlineStr">
        <is>
          <t>2022/23</t>
        </is>
      </c>
      <c r="B16" s="61" t="n">
        <v>46213</v>
      </c>
      <c r="C16" s="46" t="inlineStr">
        <is>
          <t>葵花籽</t>
        </is>
      </c>
      <c r="D16" s="46" t="inlineStr">
        <is>
          <t>World(国家加总)</t>
        </is>
      </c>
      <c r="E16" s="62" t="n">
        <v>52776</v>
      </c>
      <c r="F16" s="62" t="n">
        <v>4017</v>
      </c>
      <c r="G16" s="62" t="n">
        <v>3769</v>
      </c>
      <c r="H16" s="62" t="n">
        <v>51359</v>
      </c>
      <c r="I16" s="62" t="n">
        <v>56228</v>
      </c>
      <c r="J16" s="62" t="n">
        <v>4115</v>
      </c>
      <c r="K16" s="46" t="inlineStr">
        <is>
          <t>https://apps.fas.usda.gov/psdonline/app/index.html#/app/downloads</t>
        </is>
      </c>
      <c r="L16" s="46" t="inlineStr">
        <is>
          <t>PSD 无 World 行，按国家加总</t>
        </is>
      </c>
    </row>
    <row r="17" ht="22" customHeight="1">
      <c r="A17" s="46" t="inlineStr">
        <is>
          <t>2023/24</t>
        </is>
      </c>
      <c r="B17" s="61" t="n">
        <v>46213</v>
      </c>
      <c r="C17" s="46" t="inlineStr">
        <is>
          <t>葵花籽</t>
        </is>
      </c>
      <c r="D17" s="46" t="inlineStr">
        <is>
          <t>World(国家加总)</t>
        </is>
      </c>
      <c r="E17" s="62" t="n">
        <v>55929</v>
      </c>
      <c r="F17" s="62" t="n">
        <v>2720</v>
      </c>
      <c r="G17" s="62" t="n">
        <v>2541</v>
      </c>
      <c r="H17" s="62" t="n">
        <v>52263</v>
      </c>
      <c r="I17" s="62" t="n">
        <v>56666</v>
      </c>
      <c r="J17" s="62" t="n">
        <v>3199</v>
      </c>
      <c r="K17" s="46" t="inlineStr">
        <is>
          <t>https://apps.fas.usda.gov/psdonline/app/index.html#/app/downloads</t>
        </is>
      </c>
      <c r="L17" s="46" t="inlineStr">
        <is>
          <t>PSD 无 World 行，按国家加总</t>
        </is>
      </c>
    </row>
    <row r="18" ht="22" customHeight="1">
      <c r="A18" s="46" t="inlineStr">
        <is>
          <t>2024/25</t>
        </is>
      </c>
      <c r="B18" s="61" t="n">
        <v>46213</v>
      </c>
      <c r="C18" s="46" t="inlineStr">
        <is>
          <t>葵花籽</t>
        </is>
      </c>
      <c r="D18" s="46" t="inlineStr">
        <is>
          <t>World(国家加总)</t>
        </is>
      </c>
      <c r="E18" s="62" t="n">
        <v>53015</v>
      </c>
      <c r="F18" s="62" t="n">
        <v>3372</v>
      </c>
      <c r="G18" s="62" t="n">
        <v>2609</v>
      </c>
      <c r="H18" s="62" t="n">
        <v>48250</v>
      </c>
      <c r="I18" s="62" t="n">
        <v>52908</v>
      </c>
      <c r="J18" s="62" t="n">
        <v>2543</v>
      </c>
      <c r="K18" s="46" t="inlineStr">
        <is>
          <t>https://apps.fas.usda.gov/psdonline/app/index.html#/app/downloads</t>
        </is>
      </c>
      <c r="L18" s="46" t="inlineStr">
        <is>
          <t>PSD 无 World 行，按国家加总</t>
        </is>
      </c>
    </row>
    <row r="19" ht="22" customHeight="1">
      <c r="A19" s="46" t="inlineStr">
        <is>
          <t>2025/26</t>
        </is>
      </c>
      <c r="B19" s="61" t="n">
        <v>46213</v>
      </c>
      <c r="C19" s="46" t="inlineStr">
        <is>
          <t>葵花籽</t>
        </is>
      </c>
      <c r="D19" s="46" t="inlineStr">
        <is>
          <t>World(国家加总)</t>
        </is>
      </c>
      <c r="E19" s="62" t="n">
        <v>55282</v>
      </c>
      <c r="F19" s="62" t="n">
        <v>4316</v>
      </c>
      <c r="G19" s="62" t="n">
        <v>4070</v>
      </c>
      <c r="H19" s="62" t="n">
        <v>50007</v>
      </c>
      <c r="I19" s="62" t="n">
        <v>54705</v>
      </c>
      <c r="J19" s="62" t="n">
        <v>2874</v>
      </c>
      <c r="K19" s="46" t="inlineStr">
        <is>
          <t>https://apps.fas.usda.gov/psdonline/app/index.html#/app/downloads</t>
        </is>
      </c>
      <c r="L19" s="46" t="inlineStr">
        <is>
          <t>PSD 无 World 行，按国家加总</t>
        </is>
      </c>
    </row>
    <row r="20" ht="22" customHeight="1">
      <c r="A20" s="46" t="inlineStr">
        <is>
          <t>2021/22</t>
        </is>
      </c>
      <c r="B20" s="61" t="n">
        <v>46213</v>
      </c>
      <c r="C20" s="46" t="inlineStr">
        <is>
          <t>棉籽</t>
        </is>
      </c>
      <c r="D20" s="46" t="inlineStr">
        <is>
          <t>World(国家加总)</t>
        </is>
      </c>
      <c r="E20" s="62" t="n">
        <v>39616</v>
      </c>
      <c r="F20" s="62" t="n">
        <v>1244</v>
      </c>
      <c r="G20" s="62" t="n">
        <v>994</v>
      </c>
      <c r="H20" s="62" t="n">
        <v>30019</v>
      </c>
      <c r="I20" s="62" t="n">
        <v>39492</v>
      </c>
      <c r="J20" s="62" t="n">
        <v>1528</v>
      </c>
      <c r="K20" s="46" t="inlineStr">
        <is>
          <t>https://apps.fas.usda.gov/psdonline/app/index.html#/app/downloads</t>
        </is>
      </c>
      <c r="L20" s="46" t="inlineStr">
        <is>
          <t>PSD 无 World 行，按国家加总</t>
        </is>
      </c>
    </row>
    <row r="21" ht="22" customHeight="1">
      <c r="A21" s="46" t="inlineStr">
        <is>
          <t>2022/23</t>
        </is>
      </c>
      <c r="B21" s="61" t="n">
        <v>46213</v>
      </c>
      <c r="C21" s="46" t="inlineStr">
        <is>
          <t>棉籽</t>
        </is>
      </c>
      <c r="D21" s="46" t="inlineStr">
        <is>
          <t>World(国家加总)</t>
        </is>
      </c>
      <c r="E21" s="62" t="n">
        <v>40313</v>
      </c>
      <c r="F21" s="62" t="n">
        <v>1091</v>
      </c>
      <c r="G21" s="62" t="n">
        <v>1366</v>
      </c>
      <c r="H21" s="62" t="n">
        <v>30216</v>
      </c>
      <c r="I21" s="62" t="n">
        <v>40658</v>
      </c>
      <c r="J21" s="62" t="n">
        <v>1458</v>
      </c>
      <c r="K21" s="46" t="inlineStr">
        <is>
          <t>https://apps.fas.usda.gov/psdonline/app/index.html#/app/downloads</t>
        </is>
      </c>
      <c r="L21" s="46" t="inlineStr">
        <is>
          <t>PSD 无 World 行，按国家加总</t>
        </is>
      </c>
    </row>
    <row r="22" ht="22" customHeight="1">
      <c r="A22" s="46" t="inlineStr">
        <is>
          <t>2023/24</t>
        </is>
      </c>
      <c r="B22" s="61" t="n">
        <v>46213</v>
      </c>
      <c r="C22" s="46" t="inlineStr">
        <is>
          <t>棉籽</t>
        </is>
      </c>
      <c r="D22" s="46" t="inlineStr">
        <is>
          <t>World(国家加总)</t>
        </is>
      </c>
      <c r="E22" s="62" t="n">
        <v>39478</v>
      </c>
      <c r="F22" s="62" t="n">
        <v>1211</v>
      </c>
      <c r="G22" s="62" t="n">
        <v>1187</v>
      </c>
      <c r="H22" s="62" t="n">
        <v>31409</v>
      </c>
      <c r="I22" s="62" t="n">
        <v>39297</v>
      </c>
      <c r="J22" s="62" t="n">
        <v>1615</v>
      </c>
      <c r="K22" s="46" t="inlineStr">
        <is>
          <t>https://apps.fas.usda.gov/psdonline/app/index.html#/app/downloads</t>
        </is>
      </c>
      <c r="L22" s="46" t="inlineStr">
        <is>
          <t>PSD 无 World 行，按国家加总</t>
        </is>
      </c>
    </row>
    <row r="23" ht="22" customHeight="1">
      <c r="A23" s="46" t="inlineStr">
        <is>
          <t>2024/25</t>
        </is>
      </c>
      <c r="B23" s="61" t="n">
        <v>46213</v>
      </c>
      <c r="C23" s="46" t="inlineStr">
        <is>
          <t>棉籽</t>
        </is>
      </c>
      <c r="D23" s="46" t="inlineStr">
        <is>
          <t>World(国家加总)</t>
        </is>
      </c>
      <c r="E23" s="62" t="n">
        <v>41159</v>
      </c>
      <c r="F23" s="62" t="n">
        <v>906</v>
      </c>
      <c r="G23" s="62" t="n">
        <v>927</v>
      </c>
      <c r="H23" s="62" t="n">
        <v>31259</v>
      </c>
      <c r="I23" s="62" t="n">
        <v>41265</v>
      </c>
      <c r="J23" s="62" t="n">
        <v>1530</v>
      </c>
      <c r="K23" s="46" t="inlineStr">
        <is>
          <t>https://apps.fas.usda.gov/psdonline/app/index.html#/app/downloads</t>
        </is>
      </c>
      <c r="L23" s="46" t="inlineStr">
        <is>
          <t>PSD 无 World 行，按国家加总</t>
        </is>
      </c>
    </row>
    <row r="24" ht="22" customHeight="1">
      <c r="A24" s="46" t="inlineStr">
        <is>
          <t>2025/26</t>
        </is>
      </c>
      <c r="B24" s="61" t="n">
        <v>46213</v>
      </c>
      <c r="C24" s="46" t="inlineStr">
        <is>
          <t>棉籽</t>
        </is>
      </c>
      <c r="D24" s="46" t="inlineStr">
        <is>
          <t>World(国家加总)</t>
        </is>
      </c>
      <c r="E24" s="62" t="n">
        <v>42143</v>
      </c>
      <c r="F24" s="62" t="n">
        <v>1276</v>
      </c>
      <c r="G24" s="62" t="n">
        <v>1039</v>
      </c>
      <c r="H24" s="62" t="n">
        <v>31191</v>
      </c>
      <c r="I24" s="62" t="n">
        <v>41939</v>
      </c>
      <c r="J24" s="62" t="n">
        <v>1497</v>
      </c>
      <c r="K24" s="46" t="inlineStr">
        <is>
          <t>https://apps.fas.usda.gov/psdonline/app/index.html#/app/downloads</t>
        </is>
      </c>
      <c r="L24" s="46" t="inlineStr">
        <is>
          <t>PSD 无 World 行，按国家加总</t>
        </is>
      </c>
    </row>
    <row r="25">
      <c r="A25" t="inlineStr">
        <is>
          <t>2021/22</t>
        </is>
      </c>
      <c r="B25" s="63" t="n">
        <v>46213</v>
      </c>
      <c r="C25" t="inlineStr">
        <is>
          <t>花生</t>
        </is>
      </c>
      <c r="D25" t="inlineStr">
        <is>
          <t>World(国家加总)</t>
        </is>
      </c>
      <c r="E25" t="n">
        <v>52176</v>
      </c>
      <c r="F25" t="n">
        <v>4504</v>
      </c>
      <c r="G25" t="n">
        <v>3973</v>
      </c>
      <c r="H25" t="n">
        <v>19720</v>
      </c>
      <c r="I25" t="n">
        <v>51565</v>
      </c>
      <c r="J25" t="n">
        <v>4956</v>
      </c>
      <c r="K25" t="inlineStr">
        <is>
          <t>https://apps.fas.usda.gov/psdonline/app/index.html#/app/downloads</t>
        </is>
      </c>
      <c r="L25" t="inlineStr">
        <is>
          <t>PSD 无 World 行，按国家加总</t>
        </is>
      </c>
    </row>
    <row r="26">
      <c r="A26" t="inlineStr">
        <is>
          <t>2022/23</t>
        </is>
      </c>
      <c r="B26" s="63" t="n">
        <v>46213</v>
      </c>
      <c r="C26" t="inlineStr">
        <is>
          <t>花生</t>
        </is>
      </c>
      <c r="D26" t="inlineStr">
        <is>
          <t>World(国家加总)</t>
        </is>
      </c>
      <c r="E26" t="n">
        <v>49814</v>
      </c>
      <c r="F26" t="n">
        <v>4853</v>
      </c>
      <c r="G26" t="n">
        <v>4179</v>
      </c>
      <c r="H26" t="n">
        <v>19076</v>
      </c>
      <c r="I26" t="n">
        <v>49775</v>
      </c>
      <c r="J26" t="n">
        <v>4321</v>
      </c>
      <c r="K26" t="inlineStr">
        <is>
          <t>https://apps.fas.usda.gov/psdonline/app/index.html#/app/downloads</t>
        </is>
      </c>
      <c r="L26" t="inlineStr">
        <is>
          <t>PSD 无 World 行，按国家加总</t>
        </is>
      </c>
    </row>
    <row r="27">
      <c r="A27" t="inlineStr">
        <is>
          <t>2023/24</t>
        </is>
      </c>
      <c r="B27" s="63" t="n">
        <v>46213</v>
      </c>
      <c r="C27" t="inlineStr">
        <is>
          <t>花生</t>
        </is>
      </c>
      <c r="D27" t="inlineStr">
        <is>
          <t>World(国家加总)</t>
        </is>
      </c>
      <c r="E27" t="n">
        <v>50003</v>
      </c>
      <c r="F27" t="n">
        <v>4798</v>
      </c>
      <c r="G27" t="n">
        <v>4095</v>
      </c>
      <c r="H27" t="n">
        <v>18439</v>
      </c>
      <c r="I27" t="n">
        <v>49775</v>
      </c>
      <c r="J27" t="n">
        <v>3846</v>
      </c>
      <c r="K27" t="inlineStr">
        <is>
          <t>https://apps.fas.usda.gov/psdonline/app/index.html#/app/downloads</t>
        </is>
      </c>
      <c r="L27" t="inlineStr">
        <is>
          <t>PSD 无 World 行，按国家加总</t>
        </is>
      </c>
    </row>
    <row r="28">
      <c r="A28" t="inlineStr">
        <is>
          <t>2024/25</t>
        </is>
      </c>
      <c r="B28" s="63" t="n">
        <v>46213</v>
      </c>
      <c r="C28" t="inlineStr">
        <is>
          <t>花生</t>
        </is>
      </c>
      <c r="D28" t="inlineStr">
        <is>
          <t>World(国家加总)</t>
        </is>
      </c>
      <c r="E28" t="n">
        <v>51848</v>
      </c>
      <c r="F28" t="n">
        <v>4655</v>
      </c>
      <c r="G28" t="n">
        <v>3727</v>
      </c>
      <c r="H28" t="n">
        <v>19354</v>
      </c>
      <c r="I28" t="n">
        <v>50724</v>
      </c>
      <c r="J28" t="n">
        <v>4042</v>
      </c>
      <c r="K28" t="inlineStr">
        <is>
          <t>https://apps.fas.usda.gov/psdonline/app/index.html#/app/downloads</t>
        </is>
      </c>
      <c r="L28" t="inlineStr">
        <is>
          <t>PSD 无 World 行，按国家加总</t>
        </is>
      </c>
    </row>
    <row r="29">
      <c r="A29" t="inlineStr">
        <is>
          <t>2025/26</t>
        </is>
      </c>
      <c r="B29" s="63" t="n">
        <v>46213</v>
      </c>
      <c r="C29" t="inlineStr">
        <is>
          <t>花生</t>
        </is>
      </c>
      <c r="D29" t="inlineStr">
        <is>
          <t>World(国家加总)</t>
        </is>
      </c>
      <c r="E29" t="n">
        <v>51204</v>
      </c>
      <c r="F29" t="n">
        <v>4867</v>
      </c>
      <c r="G29" t="n">
        <v>4068</v>
      </c>
      <c r="H29" t="n">
        <v>19318</v>
      </c>
      <c r="I29" t="n">
        <v>50080</v>
      </c>
      <c r="J29" t="n">
        <v>4367</v>
      </c>
      <c r="K29" t="inlineStr">
        <is>
          <t>https://apps.fas.usda.gov/psdonline/app/index.html#/app/downloads</t>
        </is>
      </c>
      <c r="L29" t="inlineStr">
        <is>
          <t>PSD 无 World 行，按国家加总</t>
        </is>
      </c>
    </row>
    <row r="30">
      <c r="A30" t="inlineStr">
        <is>
          <t>2021/22</t>
        </is>
      </c>
      <c r="B30" s="63" t="n">
        <v>46213</v>
      </c>
      <c r="C30" t="inlineStr">
        <is>
          <t>椰肉干</t>
        </is>
      </c>
      <c r="D30" t="inlineStr">
        <is>
          <t>World(国家加总)</t>
        </is>
      </c>
      <c r="E30" t="n">
        <v>6075</v>
      </c>
      <c r="F30" t="n">
        <v>104</v>
      </c>
      <c r="G30" t="n">
        <v>101</v>
      </c>
      <c r="H30" t="n">
        <v>5967</v>
      </c>
      <c r="I30" t="n">
        <v>6065</v>
      </c>
      <c r="J30" t="n">
        <v>71</v>
      </c>
      <c r="K30" t="inlineStr">
        <is>
          <t>https://apps.fas.usda.gov/psdonline/app/index.html#/app/downloads</t>
        </is>
      </c>
      <c r="L30" t="inlineStr">
        <is>
          <t>PSD 无 World 行，按国家加总</t>
        </is>
      </c>
    </row>
    <row r="31">
      <c r="A31" t="inlineStr">
        <is>
          <t>2022/23</t>
        </is>
      </c>
      <c r="B31" s="63" t="n">
        <v>46213</v>
      </c>
      <c r="C31" t="inlineStr">
        <is>
          <t>椰肉干</t>
        </is>
      </c>
      <c r="D31" t="inlineStr">
        <is>
          <t>World(国家加总)</t>
        </is>
      </c>
      <c r="E31" t="n">
        <v>6047</v>
      </c>
      <c r="F31" t="n">
        <v>101</v>
      </c>
      <c r="G31" t="n">
        <v>80</v>
      </c>
      <c r="H31" t="n">
        <v>5903</v>
      </c>
      <c r="I31" t="n">
        <v>6031</v>
      </c>
      <c r="J31" t="n">
        <v>65</v>
      </c>
      <c r="K31" t="inlineStr">
        <is>
          <t>https://apps.fas.usda.gov/psdonline/app/index.html#/app/downloads</t>
        </is>
      </c>
      <c r="L31" t="inlineStr">
        <is>
          <t>PSD 无 World 行，按国家加总</t>
        </is>
      </c>
    </row>
    <row r="32">
      <c r="A32" t="inlineStr">
        <is>
          <t>2023/24</t>
        </is>
      </c>
      <c r="B32" s="63" t="n">
        <v>46213</v>
      </c>
      <c r="C32" t="inlineStr">
        <is>
          <t>椰肉干</t>
        </is>
      </c>
      <c r="D32" t="inlineStr">
        <is>
          <t>World(国家加总)</t>
        </is>
      </c>
      <c r="E32" t="n">
        <v>6272</v>
      </c>
      <c r="F32" t="n">
        <v>89</v>
      </c>
      <c r="G32" t="n">
        <v>79</v>
      </c>
      <c r="H32" t="n">
        <v>6179</v>
      </c>
      <c r="I32" t="n">
        <v>6267</v>
      </c>
      <c r="J32" t="n">
        <v>60</v>
      </c>
      <c r="K32" t="inlineStr">
        <is>
          <t>https://apps.fas.usda.gov/psdonline/app/index.html#/app/downloads</t>
        </is>
      </c>
      <c r="L32" t="inlineStr">
        <is>
          <t>PSD 无 World 行，按国家加总</t>
        </is>
      </c>
    </row>
    <row r="33">
      <c r="A33" t="inlineStr">
        <is>
          <t>2024/25</t>
        </is>
      </c>
      <c r="B33" s="63" t="n">
        <v>46213</v>
      </c>
      <c r="C33" t="inlineStr">
        <is>
          <t>椰肉干</t>
        </is>
      </c>
      <c r="D33" t="inlineStr">
        <is>
          <t>World(国家加总)</t>
        </is>
      </c>
      <c r="E33" t="n">
        <v>6119</v>
      </c>
      <c r="F33" t="n">
        <v>76</v>
      </c>
      <c r="G33" t="n">
        <v>90</v>
      </c>
      <c r="H33" t="n">
        <v>6061</v>
      </c>
      <c r="I33" t="n">
        <v>6137</v>
      </c>
      <c r="J33" t="n">
        <v>56</v>
      </c>
      <c r="K33" t="inlineStr">
        <is>
          <t>https://apps.fas.usda.gov/psdonline/app/index.html#/app/downloads</t>
        </is>
      </c>
      <c r="L33" t="inlineStr">
        <is>
          <t>PSD 无 World 行，按国家加总</t>
        </is>
      </c>
    </row>
    <row r="34">
      <c r="A34" t="inlineStr">
        <is>
          <t>2025/26</t>
        </is>
      </c>
      <c r="B34" s="63" t="n">
        <v>46213</v>
      </c>
      <c r="C34" t="inlineStr">
        <is>
          <t>椰肉干</t>
        </is>
      </c>
      <c r="D34" t="inlineStr">
        <is>
          <t>World(国家加总)</t>
        </is>
      </c>
      <c r="E34" t="n">
        <v>5918</v>
      </c>
      <c r="F34" t="n">
        <v>98</v>
      </c>
      <c r="G34" t="n">
        <v>105</v>
      </c>
      <c r="H34" t="n">
        <v>5864</v>
      </c>
      <c r="I34" t="n">
        <v>5936</v>
      </c>
      <c r="J34" t="n">
        <v>45</v>
      </c>
      <c r="K34" t="inlineStr">
        <is>
          <t>https://apps.fas.usda.gov/psdonline/app/index.html#/app/downloads</t>
        </is>
      </c>
      <c r="L34" t="inlineStr">
        <is>
          <t>PSD 无 World 行，按国家加总</t>
        </is>
      </c>
    </row>
    <row r="35">
      <c r="A35" t="inlineStr">
        <is>
          <t>2021/22</t>
        </is>
      </c>
      <c r="B35" s="63" t="n">
        <v>46213</v>
      </c>
      <c r="C35" t="inlineStr">
        <is>
          <t>棕榈仁</t>
        </is>
      </c>
      <c r="D35" t="inlineStr">
        <is>
          <t>World(国家加总)</t>
        </is>
      </c>
      <c r="E35" t="n">
        <v>18899</v>
      </c>
      <c r="F35" t="n">
        <v>54</v>
      </c>
      <c r="G35" t="n">
        <v>146</v>
      </c>
      <c r="H35" t="n">
        <v>18745</v>
      </c>
      <c r="I35" t="n">
        <v>18859</v>
      </c>
      <c r="J35" t="n">
        <v>317</v>
      </c>
      <c r="K35" t="inlineStr">
        <is>
          <t>https://apps.fas.usda.gov/psdonline/app/index.html#/app/downloads</t>
        </is>
      </c>
      <c r="L35" t="inlineStr">
        <is>
          <t>PSD 无 World 行，按国家加总</t>
        </is>
      </c>
    </row>
    <row r="36">
      <c r="A36" t="inlineStr">
        <is>
          <t>2022/23</t>
        </is>
      </c>
      <c r="B36" s="63" t="n">
        <v>46213</v>
      </c>
      <c r="C36" t="inlineStr">
        <is>
          <t>棕榈仁</t>
        </is>
      </c>
      <c r="D36" t="inlineStr">
        <is>
          <t>World(国家加总)</t>
        </is>
      </c>
      <c r="E36" t="n">
        <v>19775</v>
      </c>
      <c r="F36" t="n">
        <v>60</v>
      </c>
      <c r="G36" t="n">
        <v>157</v>
      </c>
      <c r="H36" t="n">
        <v>19770</v>
      </c>
      <c r="I36" t="n">
        <v>19895</v>
      </c>
      <c r="J36" t="n">
        <v>294</v>
      </c>
      <c r="K36" t="inlineStr">
        <is>
          <t>https://apps.fas.usda.gov/psdonline/app/index.html#/app/downloads</t>
        </is>
      </c>
      <c r="L36" t="inlineStr">
        <is>
          <t>PSD 无 World 行，按国家加总</t>
        </is>
      </c>
    </row>
    <row r="37">
      <c r="A37" t="inlineStr">
        <is>
          <t>2023/24</t>
        </is>
      </c>
      <c r="B37" s="63" t="n">
        <v>46213</v>
      </c>
      <c r="C37" t="inlineStr">
        <is>
          <t>棕榈仁</t>
        </is>
      </c>
      <c r="D37" t="inlineStr">
        <is>
          <t>World(国家加总)</t>
        </is>
      </c>
      <c r="E37" t="n">
        <v>19592</v>
      </c>
      <c r="F37" t="n">
        <v>94</v>
      </c>
      <c r="G37" t="n">
        <v>190</v>
      </c>
      <c r="H37" t="n">
        <v>19463</v>
      </c>
      <c r="I37" t="n">
        <v>19658</v>
      </c>
      <c r="J37" t="n">
        <v>324</v>
      </c>
      <c r="K37" t="inlineStr">
        <is>
          <t>https://apps.fas.usda.gov/psdonline/app/index.html#/app/downloads</t>
        </is>
      </c>
      <c r="L37" t="inlineStr">
        <is>
          <t>PSD 无 World 行，按国家加总</t>
        </is>
      </c>
    </row>
    <row r="38">
      <c r="A38" t="inlineStr">
        <is>
          <t>2024/25</t>
        </is>
      </c>
      <c r="B38" s="63" t="n">
        <v>46213</v>
      </c>
      <c r="C38" t="inlineStr">
        <is>
          <t>棕榈仁</t>
        </is>
      </c>
      <c r="D38" t="inlineStr">
        <is>
          <t>World(国家加总)</t>
        </is>
      </c>
      <c r="E38" t="n">
        <v>20362</v>
      </c>
      <c r="F38" t="n">
        <v>172</v>
      </c>
      <c r="G38" t="n">
        <v>221</v>
      </c>
      <c r="H38" t="n">
        <v>20217</v>
      </c>
      <c r="I38" t="n">
        <v>20413</v>
      </c>
      <c r="J38" t="n">
        <v>322</v>
      </c>
      <c r="K38" t="inlineStr">
        <is>
          <t>https://apps.fas.usda.gov/psdonline/app/index.html#/app/downloads</t>
        </is>
      </c>
      <c r="L38" t="inlineStr">
        <is>
          <t>PSD 无 World 行，按国家加总</t>
        </is>
      </c>
    </row>
    <row r="39">
      <c r="A39" t="inlineStr">
        <is>
          <t>2025/26</t>
        </is>
      </c>
      <c r="B39" s="63" t="n">
        <v>46213</v>
      </c>
      <c r="C39" t="inlineStr">
        <is>
          <t>棕榈仁</t>
        </is>
      </c>
      <c r="D39" t="inlineStr">
        <is>
          <t>World(国家加总)</t>
        </is>
      </c>
      <c r="E39" t="n">
        <v>21145</v>
      </c>
      <c r="F39" t="n">
        <v>57</v>
      </c>
      <c r="G39" t="n">
        <v>224</v>
      </c>
      <c r="H39" t="n">
        <v>21096</v>
      </c>
      <c r="I39" t="n">
        <v>21246</v>
      </c>
      <c r="J39" t="n">
        <v>388</v>
      </c>
      <c r="K39" t="inlineStr">
        <is>
          <t>https://apps.fas.usda.gov/psdonline/app/index.html#/app/downloads</t>
        </is>
      </c>
      <c r="L39" t="inlineStr">
        <is>
          <t>PSD 无 World 行，按国家加总</t>
        </is>
      </c>
    </row>
  </sheetData>
  <mergeCells count="2">
    <mergeCell ref="A3:L3"/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</cols>
  <sheetData>
    <row r="1">
      <c r="A1" s="3" t="inlineStr">
        <is>
          <t>大豆主产国生产与平衡｜年度/营销年度</t>
        </is>
      </c>
    </row>
    <row r="2"/>
    <row r="3">
      <c r="A3" s="41" t="inlineStr">
        <is>
          <t>首选来源：USDA PSD、USDA NASS、CONAB、阿根廷农业部　https://apps.fas.usda.gov/PSDOnline/app/index.html</t>
        </is>
      </c>
    </row>
    <row r="4" ht="34" customHeight="1">
      <c r="A4" s="6" t="inlineStr">
        <is>
          <t>营销年度
必填</t>
        </is>
      </c>
      <c r="B4" s="6" t="inlineStr">
        <is>
          <t>数据版本日期
必填</t>
        </is>
      </c>
      <c r="C4" s="6" t="inlineStr">
        <is>
          <t>国家
必填</t>
        </is>
      </c>
      <c r="D4" s="6" t="inlineStr">
        <is>
          <t>播种面积
必填</t>
        </is>
      </c>
      <c r="E4" s="6" t="inlineStr">
        <is>
          <t>收获面积
选填</t>
        </is>
      </c>
      <c r="F4" s="6" t="inlineStr">
        <is>
          <t>单产
必填</t>
        </is>
      </c>
      <c r="G4" s="6" t="inlineStr">
        <is>
          <t>产量
必填</t>
        </is>
      </c>
      <c r="H4" s="6" t="inlineStr">
        <is>
          <t>出口量
选填</t>
        </is>
      </c>
      <c r="I4" s="6" t="inlineStr">
        <is>
          <t>进口量
选填</t>
        </is>
      </c>
      <c r="J4" s="6" t="inlineStr">
        <is>
          <t>压榨量
选填</t>
        </is>
      </c>
      <c r="K4" s="6" t="inlineStr">
        <is>
          <t>期末库存
选填</t>
        </is>
      </c>
      <c r="L4" s="6" t="inlineStr">
        <is>
          <t>来源网址
必填</t>
        </is>
      </c>
      <c r="M4" s="6" t="inlineStr">
        <is>
          <t>备注
选填</t>
        </is>
      </c>
    </row>
    <row r="5" ht="22" customHeight="1">
      <c r="A5" s="45" t="inlineStr">
        <is>
          <t>2021/22</t>
        </is>
      </c>
      <c r="B5" s="59" t="n">
        <v>46213</v>
      </c>
      <c r="C5" s="45" t="inlineStr">
        <is>
          <t>美国</t>
        </is>
      </c>
      <c r="D5" s="60" t="n">
        <v>35287</v>
      </c>
      <c r="E5" s="60" t="n">
        <v>34921</v>
      </c>
      <c r="F5" s="60" t="n">
        <v>3.48</v>
      </c>
      <c r="G5" s="60" t="n">
        <v>121504</v>
      </c>
      <c r="H5" s="60" t="n">
        <v>58570</v>
      </c>
      <c r="I5" s="60" t="n">
        <v>433</v>
      </c>
      <c r="J5" s="60" t="n">
        <v>59980</v>
      </c>
      <c r="K5" s="60" t="n">
        <v>7468</v>
      </c>
      <c r="L5" s="45" t="inlineStr">
        <is>
          <t>https://apps.fas.usda.gov/psdonline/app/index.html#/app/downloads</t>
        </is>
      </c>
      <c r="M5" s="45" t="inlineStr">
        <is>
          <t>PSD 仅收获面积，无播种面积；与 Wind USDA 口径列一致；播种面积=NASS 千英亩×0.4047 换算（Wind/NASS）</t>
        </is>
      </c>
    </row>
    <row r="6" ht="22" customHeight="1">
      <c r="A6" s="46" t="inlineStr">
        <is>
          <t>2022/23</t>
        </is>
      </c>
      <c r="B6" s="61" t="n">
        <v>46213</v>
      </c>
      <c r="C6" s="46" t="inlineStr">
        <is>
          <t>美国</t>
        </is>
      </c>
      <c r="D6" s="62" t="n">
        <v>35390</v>
      </c>
      <c r="E6" s="62" t="n">
        <v>34873</v>
      </c>
      <c r="F6" s="62" t="n">
        <v>3.33</v>
      </c>
      <c r="G6" s="62" t="n">
        <v>116221</v>
      </c>
      <c r="H6" s="62" t="n">
        <v>53864</v>
      </c>
      <c r="I6" s="62" t="n">
        <v>667</v>
      </c>
      <c r="J6" s="62" t="n">
        <v>60199</v>
      </c>
      <c r="K6" s="62" t="n">
        <v>7190</v>
      </c>
      <c r="L6" s="46" t="inlineStr">
        <is>
          <t>https://apps.fas.usda.gov/psdonline/app/index.html#/app/downloads</t>
        </is>
      </c>
      <c r="M6" s="46" t="inlineStr">
        <is>
          <t>PSD 仅收获面积，无播种面积；与 Wind USDA 口径列一致；播种面积=NASS 千英亩×0.4047 换算（Wind/NASS）</t>
        </is>
      </c>
    </row>
    <row r="7" ht="22" customHeight="1">
      <c r="A7" s="46" t="inlineStr">
        <is>
          <t>2023/24</t>
        </is>
      </c>
      <c r="B7" s="61" t="n">
        <v>46213</v>
      </c>
      <c r="C7" s="46" t="inlineStr">
        <is>
          <t>美国</t>
        </is>
      </c>
      <c r="D7" s="62" t="n">
        <v>33832</v>
      </c>
      <c r="E7" s="62" t="n">
        <v>33294</v>
      </c>
      <c r="F7" s="62" t="n">
        <v>3.4</v>
      </c>
      <c r="G7" s="62" t="n">
        <v>113273</v>
      </c>
      <c r="H7" s="62" t="n">
        <v>46350</v>
      </c>
      <c r="I7" s="62" t="n">
        <v>567</v>
      </c>
      <c r="J7" s="62" t="n">
        <v>62196</v>
      </c>
      <c r="K7" s="62" t="n">
        <v>9319</v>
      </c>
      <c r="L7" s="46" t="inlineStr">
        <is>
          <t>https://apps.fas.usda.gov/psdonline/app/index.html#/app/downloads</t>
        </is>
      </c>
      <c r="M7" s="46" t="inlineStr">
        <is>
          <t>PSD 仅收获面积，无播种面积；与 Wind USDA 口径列一致；播种面积=NASS 千英亩×0.4047 换算（Wind/NASS）</t>
        </is>
      </c>
    </row>
    <row r="8" ht="22" customHeight="1">
      <c r="A8" s="46" t="inlineStr">
        <is>
          <t>2024/25</t>
        </is>
      </c>
      <c r="B8" s="61" t="n">
        <v>46213</v>
      </c>
      <c r="C8" s="46" t="inlineStr">
        <is>
          <t>美国</t>
        </is>
      </c>
      <c r="D8" s="62" t="n">
        <v>35313</v>
      </c>
      <c r="E8" s="62" t="n">
        <v>34887</v>
      </c>
      <c r="F8" s="62" t="n">
        <v>3.41</v>
      </c>
      <c r="G8" s="62" t="n">
        <v>119047</v>
      </c>
      <c r="H8" s="62" t="n">
        <v>51495</v>
      </c>
      <c r="I8" s="62" t="n">
        <v>806</v>
      </c>
      <c r="J8" s="62" t="n">
        <v>66546</v>
      </c>
      <c r="K8" s="62" t="n">
        <v>8840</v>
      </c>
      <c r="L8" s="46" t="inlineStr">
        <is>
          <t>https://apps.fas.usda.gov/psdonline/app/index.html#/app/downloads</t>
        </is>
      </c>
      <c r="M8" s="46" t="inlineStr">
        <is>
          <t>PSD 仅收获面积，无播种面积；与 Wind USDA 口径列一致；播种面积=NASS 千英亩×0.4047 换算（Wind/NASS）</t>
        </is>
      </c>
    </row>
    <row r="9" ht="22" customHeight="1">
      <c r="A9" s="46" t="inlineStr">
        <is>
          <t>2025/26</t>
        </is>
      </c>
      <c r="B9" s="61" t="n">
        <v>46213</v>
      </c>
      <c r="C9" s="46" t="inlineStr">
        <is>
          <t>美国</t>
        </is>
      </c>
      <c r="D9" s="62" t="n">
        <v>32867</v>
      </c>
      <c r="E9" s="62" t="n">
        <v>32552</v>
      </c>
      <c r="F9" s="62" t="n">
        <v>3.56</v>
      </c>
      <c r="G9" s="62" t="n">
        <v>115989</v>
      </c>
      <c r="H9" s="62" t="n">
        <v>41368</v>
      </c>
      <c r="I9" s="62" t="n">
        <v>680</v>
      </c>
      <c r="J9" s="62" t="n">
        <v>72121</v>
      </c>
      <c r="K9" s="62" t="n">
        <v>8978</v>
      </c>
      <c r="L9" s="46" t="inlineStr">
        <is>
          <t>https://apps.fas.usda.gov/psdonline/app/index.html#/app/downloads</t>
        </is>
      </c>
      <c r="M9" s="46" t="inlineStr">
        <is>
          <t>PSD 仅收获面积，无播种面积；与 Wind USDA 口径列一致；播种面积=NASS 千英亩×0.4047 换算（Wind/NASS）</t>
        </is>
      </c>
    </row>
    <row r="10" ht="22" customHeight="1">
      <c r="A10" s="46" t="inlineStr">
        <is>
          <t>2021/22</t>
        </is>
      </c>
      <c r="B10" s="61" t="n">
        <v>46213</v>
      </c>
      <c r="C10" s="46" t="inlineStr">
        <is>
          <t>巴西</t>
        </is>
      </c>
      <c r="D10" s="62" t="n"/>
      <c r="E10" s="62" t="n">
        <v>41800</v>
      </c>
      <c r="F10" s="62" t="n">
        <v>3.12</v>
      </c>
      <c r="G10" s="62" t="n">
        <v>130500</v>
      </c>
      <c r="H10" s="62" t="n">
        <v>79063</v>
      </c>
      <c r="I10" s="62" t="n">
        <v>539</v>
      </c>
      <c r="J10" s="62" t="n">
        <v>50767</v>
      </c>
      <c r="K10" s="62" t="n">
        <v>27378</v>
      </c>
      <c r="L10" s="46" t="inlineStr">
        <is>
          <t>https://apps.fas.usda.gov/psdonline/app/index.html#/app/downloads</t>
        </is>
      </c>
      <c r="M10" s="46" t="inlineStr">
        <is>
          <t>PSD 仅收获面积，无播种面积；与 Wind USDA 口径列一致</t>
        </is>
      </c>
    </row>
    <row r="11" ht="22" customHeight="1">
      <c r="A11" s="46" t="inlineStr">
        <is>
          <t>2022/23</t>
        </is>
      </c>
      <c r="B11" s="61" t="n">
        <v>46213</v>
      </c>
      <c r="C11" s="46" t="inlineStr">
        <is>
          <t>巴西</t>
        </is>
      </c>
      <c r="D11" s="62" t="n"/>
      <c r="E11" s="62" t="n">
        <v>44600</v>
      </c>
      <c r="F11" s="62" t="n">
        <v>3.63</v>
      </c>
      <c r="G11" s="62" t="n">
        <v>162000</v>
      </c>
      <c r="H11" s="62" t="n">
        <v>95504</v>
      </c>
      <c r="I11" s="62" t="n">
        <v>154</v>
      </c>
      <c r="J11" s="62" t="n">
        <v>53409</v>
      </c>
      <c r="K11" s="62" t="n">
        <v>36819</v>
      </c>
      <c r="L11" s="46" t="inlineStr">
        <is>
          <t>https://apps.fas.usda.gov/psdonline/app/index.html#/app/downloads</t>
        </is>
      </c>
      <c r="M11" s="46" t="inlineStr">
        <is>
          <t>PSD 仅收获面积，无播种面积；与 Wind USDA 口径列一致</t>
        </is>
      </c>
    </row>
    <row r="12" ht="22" customHeight="1">
      <c r="A12" s="46" t="inlineStr">
        <is>
          <t>2023/24</t>
        </is>
      </c>
      <c r="B12" s="61" t="n">
        <v>46213</v>
      </c>
      <c r="C12" s="46" t="inlineStr">
        <is>
          <t>巴西</t>
        </is>
      </c>
      <c r="D12" s="62" t="n"/>
      <c r="E12" s="62" t="n">
        <v>46150</v>
      </c>
      <c r="F12" s="62" t="n">
        <v>3.35</v>
      </c>
      <c r="G12" s="62" t="n">
        <v>154500</v>
      </c>
      <c r="H12" s="62" t="n">
        <v>104170</v>
      </c>
      <c r="I12" s="62" t="n">
        <v>867</v>
      </c>
      <c r="J12" s="62" t="n">
        <v>54405</v>
      </c>
      <c r="K12" s="62" t="n">
        <v>29761</v>
      </c>
      <c r="L12" s="46" t="inlineStr">
        <is>
          <t>https://apps.fas.usda.gov/psdonline/app/index.html#/app/downloads</t>
        </is>
      </c>
      <c r="M12" s="46" t="inlineStr">
        <is>
          <t>PSD 仅收获面积，无播种面积；与 Wind USDA 口径列一致</t>
        </is>
      </c>
    </row>
    <row r="13" ht="22" customHeight="1">
      <c r="A13" s="46" t="inlineStr">
        <is>
          <t>2024/25</t>
        </is>
      </c>
      <c r="B13" s="61" t="n">
        <v>46213</v>
      </c>
      <c r="C13" s="46" t="inlineStr">
        <is>
          <t>巴西</t>
        </is>
      </c>
      <c r="D13" s="62" t="n"/>
      <c r="E13" s="62" t="n">
        <v>47400</v>
      </c>
      <c r="F13" s="62" t="n">
        <v>3.64</v>
      </c>
      <c r="G13" s="62" t="n">
        <v>172500</v>
      </c>
      <c r="H13" s="62" t="n">
        <v>103142</v>
      </c>
      <c r="I13" s="62" t="n">
        <v>731</v>
      </c>
      <c r="J13" s="62" t="n">
        <v>58162</v>
      </c>
      <c r="K13" s="62" t="n">
        <v>37688</v>
      </c>
      <c r="L13" s="46" t="inlineStr">
        <is>
          <t>https://apps.fas.usda.gov/psdonline/app/index.html#/app/downloads</t>
        </is>
      </c>
      <c r="M13" s="46" t="inlineStr">
        <is>
          <t>PSD 仅收获面积，无播种面积；与 Wind USDA 口径列一致</t>
        </is>
      </c>
    </row>
    <row r="14" ht="22" customHeight="1">
      <c r="A14" s="46" t="inlineStr">
        <is>
          <t>2025/26</t>
        </is>
      </c>
      <c r="B14" s="61" t="n">
        <v>46213</v>
      </c>
      <c r="C14" s="46" t="inlineStr">
        <is>
          <t>巴西</t>
        </is>
      </c>
      <c r="D14" s="62" t="n"/>
      <c r="E14" s="62" t="n">
        <v>48500</v>
      </c>
      <c r="F14" s="62" t="n">
        <v>3.71</v>
      </c>
      <c r="G14" s="62" t="n">
        <v>180000</v>
      </c>
      <c r="H14" s="62" t="n">
        <v>115000</v>
      </c>
      <c r="I14" s="62" t="n">
        <v>900</v>
      </c>
      <c r="J14" s="62" t="n">
        <v>61500</v>
      </c>
      <c r="K14" s="62" t="n">
        <v>37688</v>
      </c>
      <c r="L14" s="46" t="inlineStr">
        <is>
          <t>https://apps.fas.usda.gov/psdonline/app/index.html#/app/downloads</t>
        </is>
      </c>
      <c r="M14" s="46" t="inlineStr">
        <is>
          <t>PSD 仅收获面积，无播种面积；与 Wind USDA 口径列一致</t>
        </is>
      </c>
    </row>
    <row r="15" ht="22" customHeight="1">
      <c r="A15" s="46" t="inlineStr">
        <is>
          <t>2021/22</t>
        </is>
      </c>
      <c r="B15" s="61" t="n">
        <v>46213</v>
      </c>
      <c r="C15" s="46" t="inlineStr">
        <is>
          <t>阿根廷</t>
        </is>
      </c>
      <c r="D15" s="62" t="n"/>
      <c r="E15" s="62" t="n">
        <v>15900</v>
      </c>
      <c r="F15" s="62" t="n">
        <v>2.76</v>
      </c>
      <c r="G15" s="62" t="n">
        <v>43900</v>
      </c>
      <c r="H15" s="62" t="n">
        <v>2861</v>
      </c>
      <c r="I15" s="62" t="n">
        <v>3839</v>
      </c>
      <c r="J15" s="62" t="n">
        <v>38800</v>
      </c>
      <c r="K15" s="62" t="n">
        <v>23716</v>
      </c>
      <c r="L15" s="46" t="inlineStr">
        <is>
          <t>https://apps.fas.usda.gov/psdonline/app/index.html#/app/downloads</t>
        </is>
      </c>
      <c r="M15" s="46" t="inlineStr">
        <is>
          <t>PSD 仅收获面积，无播种面积；与 Wind USDA 口径列一致</t>
        </is>
      </c>
    </row>
    <row r="16" ht="22" customHeight="1">
      <c r="A16" s="46" t="inlineStr">
        <is>
          <t>2022/23</t>
        </is>
      </c>
      <c r="B16" s="61" t="n">
        <v>46213</v>
      </c>
      <c r="C16" s="46" t="inlineStr">
        <is>
          <t>阿根廷</t>
        </is>
      </c>
      <c r="D16" s="62" t="n"/>
      <c r="E16" s="62" t="n">
        <v>14400</v>
      </c>
      <c r="F16" s="62" t="n">
        <v>1.74</v>
      </c>
      <c r="G16" s="62" t="n">
        <v>25000</v>
      </c>
      <c r="H16" s="62" t="n">
        <v>4185</v>
      </c>
      <c r="I16" s="62" t="n">
        <v>9059</v>
      </c>
      <c r="J16" s="62" t="n">
        <v>30341</v>
      </c>
      <c r="K16" s="62" t="n">
        <v>16999</v>
      </c>
      <c r="L16" s="46" t="inlineStr">
        <is>
          <t>https://apps.fas.usda.gov/psdonline/app/index.html#/app/downloads</t>
        </is>
      </c>
      <c r="M16" s="46" t="inlineStr">
        <is>
          <t>PSD 仅收获面积，无播种面积；与 Wind USDA 口径列一致</t>
        </is>
      </c>
    </row>
    <row r="17" ht="22" customHeight="1">
      <c r="A17" s="46" t="inlineStr">
        <is>
          <t>2023/24</t>
        </is>
      </c>
      <c r="B17" s="61" t="n">
        <v>46213</v>
      </c>
      <c r="C17" s="46" t="inlineStr">
        <is>
          <t>阿根廷</t>
        </is>
      </c>
      <c r="D17" s="62" t="n"/>
      <c r="E17" s="62" t="n">
        <v>16370</v>
      </c>
      <c r="F17" s="62" t="n">
        <v>2.95</v>
      </c>
      <c r="G17" s="62" t="n">
        <v>48210</v>
      </c>
      <c r="H17" s="62" t="n">
        <v>5114</v>
      </c>
      <c r="I17" s="62" t="n">
        <v>7787</v>
      </c>
      <c r="J17" s="62" t="n">
        <v>36583</v>
      </c>
      <c r="K17" s="62" t="n">
        <v>24049</v>
      </c>
      <c r="L17" s="46" t="inlineStr">
        <is>
          <t>https://apps.fas.usda.gov/psdonline/app/index.html#/app/downloads</t>
        </is>
      </c>
      <c r="M17" s="46" t="inlineStr">
        <is>
          <t>PSD 仅收获面积，无播种面积；与 Wind USDA 口径列一致</t>
        </is>
      </c>
    </row>
    <row r="18" ht="22" customHeight="1">
      <c r="A18" s="46" t="inlineStr">
        <is>
          <t>2024/25</t>
        </is>
      </c>
      <c r="B18" s="61" t="n">
        <v>46213</v>
      </c>
      <c r="C18" s="46" t="inlineStr">
        <is>
          <t>阿根廷</t>
        </is>
      </c>
      <c r="D18" s="62" t="n"/>
      <c r="E18" s="62" t="n">
        <v>17455</v>
      </c>
      <c r="F18" s="62" t="n">
        <v>2.93</v>
      </c>
      <c r="G18" s="62" t="n">
        <v>51108</v>
      </c>
      <c r="H18" s="62" t="n">
        <v>7874</v>
      </c>
      <c r="I18" s="62" t="n">
        <v>6324</v>
      </c>
      <c r="J18" s="62" t="n">
        <v>43236</v>
      </c>
      <c r="K18" s="62" t="n">
        <v>24671</v>
      </c>
      <c r="L18" s="46" t="inlineStr">
        <is>
          <t>https://apps.fas.usda.gov/psdonline/app/index.html#/app/downloads</t>
        </is>
      </c>
      <c r="M18" s="46" t="inlineStr">
        <is>
          <t>PSD 仅收获面积，无播种面积；与 Wind USDA 口径列一致</t>
        </is>
      </c>
    </row>
    <row r="19" ht="22" customHeight="1">
      <c r="A19" s="46" t="inlineStr">
        <is>
          <t>2025/26</t>
        </is>
      </c>
      <c r="B19" s="61" t="n">
        <v>46213</v>
      </c>
      <c r="C19" s="46" t="inlineStr">
        <is>
          <t>阿根廷</t>
        </is>
      </c>
      <c r="D19" s="62" t="n"/>
      <c r="E19" s="62" t="n">
        <v>16300</v>
      </c>
      <c r="F19" s="62" t="n">
        <v>3.07</v>
      </c>
      <c r="G19" s="62" t="n">
        <v>50000</v>
      </c>
      <c r="H19" s="62" t="n">
        <v>9000</v>
      </c>
      <c r="I19" s="62" t="n">
        <v>7050</v>
      </c>
      <c r="J19" s="62" t="n">
        <v>42000</v>
      </c>
      <c r="K19" s="62" t="n">
        <v>23821</v>
      </c>
      <c r="L19" s="46" t="inlineStr">
        <is>
          <t>https://apps.fas.usda.gov/psdonline/app/index.html#/app/downloads</t>
        </is>
      </c>
      <c r="M19" s="46" t="inlineStr">
        <is>
          <t>PSD 仅收获面积，无播种面积；与 Wind USDA 口径列一致</t>
        </is>
      </c>
    </row>
    <row r="20" ht="22" customHeight="1">
      <c r="A20" s="46" t="inlineStr">
        <is>
          <t>2021/22</t>
        </is>
      </c>
      <c r="B20" s="61" t="n">
        <v>46213</v>
      </c>
      <c r="C20" s="46" t="inlineStr">
        <is>
          <t>中国</t>
        </is>
      </c>
      <c r="D20" s="62" t="n"/>
      <c r="E20" s="62" t="n">
        <v>8415</v>
      </c>
      <c r="F20" s="62" t="n">
        <v>1.95</v>
      </c>
      <c r="G20" s="62" t="n">
        <v>16395</v>
      </c>
      <c r="H20" s="62" t="n">
        <v>102</v>
      </c>
      <c r="I20" s="62" t="n">
        <v>90297</v>
      </c>
      <c r="J20" s="62" t="n">
        <v>90000</v>
      </c>
      <c r="K20" s="62" t="n">
        <v>25146</v>
      </c>
      <c r="L20" s="46" t="inlineStr">
        <is>
          <t>https://apps.fas.usda.gov/psdonline/app/index.html#/app/downloads</t>
        </is>
      </c>
      <c r="M20" s="46" t="inlineStr">
        <is>
          <t>PSD 仅收获面积，无播种面积；与 Wind USDA 口径列一致</t>
        </is>
      </c>
    </row>
    <row r="21" ht="22" customHeight="1">
      <c r="A21" s="46" t="inlineStr">
        <is>
          <t>2022/23</t>
        </is>
      </c>
      <c r="B21" s="61" t="n">
        <v>46213</v>
      </c>
      <c r="C21" s="46" t="inlineStr">
        <is>
          <t>中国</t>
        </is>
      </c>
      <c r="D21" s="62" t="n"/>
      <c r="E21" s="62" t="n">
        <v>10244</v>
      </c>
      <c r="F21" s="62" t="n">
        <v>1.98</v>
      </c>
      <c r="G21" s="62" t="n">
        <v>20284</v>
      </c>
      <c r="H21" s="62" t="n">
        <v>89</v>
      </c>
      <c r="I21" s="62" t="n">
        <v>104500</v>
      </c>
      <c r="J21" s="62" t="n">
        <v>96000</v>
      </c>
      <c r="K21" s="62" t="n">
        <v>32341</v>
      </c>
      <c r="L21" s="46" t="inlineStr">
        <is>
          <t>https://apps.fas.usda.gov/psdonline/app/index.html#/app/downloads</t>
        </is>
      </c>
      <c r="M21" s="46" t="inlineStr">
        <is>
          <t>PSD 仅收获面积，无播种面积；与 Wind USDA 口径列一致</t>
        </is>
      </c>
    </row>
    <row r="22" ht="22" customHeight="1">
      <c r="A22" s="46" t="inlineStr">
        <is>
          <t>2023/24</t>
        </is>
      </c>
      <c r="B22" s="61" t="n">
        <v>46213</v>
      </c>
      <c r="C22" s="46" t="inlineStr">
        <is>
          <t>中国</t>
        </is>
      </c>
      <c r="D22" s="62" t="n"/>
      <c r="E22" s="62" t="n">
        <v>10470</v>
      </c>
      <c r="F22" s="62" t="n">
        <v>1.99</v>
      </c>
      <c r="G22" s="62" t="n">
        <v>20840</v>
      </c>
      <c r="H22" s="62" t="n">
        <v>70</v>
      </c>
      <c r="I22" s="62" t="n">
        <v>112000</v>
      </c>
      <c r="J22" s="62" t="n">
        <v>99000</v>
      </c>
      <c r="K22" s="62" t="n">
        <v>43311</v>
      </c>
      <c r="L22" s="46" t="inlineStr">
        <is>
          <t>https://apps.fas.usda.gov/psdonline/app/index.html#/app/downloads</t>
        </is>
      </c>
      <c r="M22" s="46" t="inlineStr">
        <is>
          <t>PSD 仅收获面积，无播种面积；与 Wind USDA 口径列一致</t>
        </is>
      </c>
    </row>
    <row r="23" ht="22" customHeight="1">
      <c r="A23" s="46" t="inlineStr">
        <is>
          <t>2024/25</t>
        </is>
      </c>
      <c r="B23" s="61" t="n">
        <v>46213</v>
      </c>
      <c r="C23" s="46" t="inlineStr">
        <is>
          <t>中国</t>
        </is>
      </c>
      <c r="D23" s="62" t="n"/>
      <c r="E23" s="62" t="n">
        <v>10333</v>
      </c>
      <c r="F23" s="62" t="n">
        <v>2</v>
      </c>
      <c r="G23" s="62" t="n">
        <v>20650</v>
      </c>
      <c r="H23" s="62" t="n">
        <v>72</v>
      </c>
      <c r="I23" s="62" t="n">
        <v>108000</v>
      </c>
      <c r="J23" s="62" t="n">
        <v>103500</v>
      </c>
      <c r="K23" s="62" t="n">
        <v>44489</v>
      </c>
      <c r="L23" s="46" t="inlineStr">
        <is>
          <t>https://apps.fas.usda.gov/psdonline/app/index.html#/app/downloads</t>
        </is>
      </c>
      <c r="M23" s="46" t="inlineStr">
        <is>
          <t>PSD 仅收获面积，无播种面积；与 Wind USDA 口径列一致</t>
        </is>
      </c>
    </row>
    <row r="24" ht="22" customHeight="1">
      <c r="A24" s="46" t="inlineStr">
        <is>
          <t>2025/26</t>
        </is>
      </c>
      <c r="B24" s="61" t="n">
        <v>46213</v>
      </c>
      <c r="C24" s="46" t="inlineStr">
        <is>
          <t>中国</t>
        </is>
      </c>
      <c r="D24" s="62" t="n"/>
      <c r="E24" s="62" t="n">
        <v>10300</v>
      </c>
      <c r="F24" s="62" t="n">
        <v>2.03</v>
      </c>
      <c r="G24" s="62" t="n">
        <v>20900</v>
      </c>
      <c r="H24" s="62" t="n">
        <v>120</v>
      </c>
      <c r="I24" s="62" t="n">
        <v>113000</v>
      </c>
      <c r="J24" s="62" t="n">
        <v>109000</v>
      </c>
      <c r="K24" s="62" t="n">
        <v>44369</v>
      </c>
      <c r="L24" s="46" t="inlineStr">
        <is>
          <t>https://apps.fas.usda.gov/psdonline/app/index.html#/app/downloads</t>
        </is>
      </c>
      <c r="M24" s="46" t="inlineStr">
        <is>
          <t>PSD 仅收获面积，无播种面积；与 Wind USDA 口径列一致</t>
        </is>
      </c>
    </row>
  </sheetData>
  <mergeCells count="2">
    <mergeCell ref="A1:M2"/>
    <mergeCell ref="A3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24" customWidth="1" min="6" max="6"/>
    <col width="24" customWidth="1" min="7" max="7"/>
  </cols>
  <sheetData>
    <row r="1">
      <c r="A1" s="3" t="inlineStr">
        <is>
          <t>中国大豆进口｜月度</t>
        </is>
      </c>
    </row>
    <row r="2"/>
    <row r="3">
      <c r="A3" s="41" t="inlineStr">
        <is>
          <t>首选来源：海关总署　https://english.customs.gov.cn/Statistics/Statistics</t>
        </is>
      </c>
    </row>
    <row r="4" ht="34" customHeight="1">
      <c r="A4" s="6" t="inlineStr">
        <is>
          <t>月份
必填</t>
        </is>
      </c>
      <c r="B4" s="6" t="inlineStr">
        <is>
          <t>来源国
必填</t>
        </is>
      </c>
      <c r="C4" s="6" t="inlineStr">
        <is>
          <t>进口数量
必填</t>
        </is>
      </c>
      <c r="D4" s="6" t="inlineStr">
        <is>
          <t>进口金额
选填</t>
        </is>
      </c>
      <c r="E4" s="6" t="inlineStr">
        <is>
          <t>进口均价
自动</t>
        </is>
      </c>
      <c r="F4" s="6" t="inlineStr">
        <is>
          <t>来源网址
必填</t>
        </is>
      </c>
      <c r="G4" s="6" t="inlineStr">
        <is>
          <t>备注
选填</t>
        </is>
      </c>
    </row>
    <row r="5" ht="22" customHeight="1">
      <c r="A5" s="64" t="n">
        <v>46174</v>
      </c>
      <c r="B5" s="45" t="inlineStr">
        <is>
          <t>巴西</t>
        </is>
      </c>
      <c r="C5" s="60" t="n">
        <v>1207.53</v>
      </c>
      <c r="D5" s="60" t="n"/>
      <c r="E5" s="65">
        <f>IF(OR(C5="",D5=""),"",D5*10000/C5)</f>
        <v/>
      </c>
      <c r="F5" s="45" t="inlineStr">
        <is>
          <t>https://online.customs.gov.cn/</t>
        </is>
      </c>
      <c r="G5" s="45" t="inlineStr">
        <is>
          <t>Wind 数据终端，2026-08-01 采集；分国别为吨换算万吨</t>
        </is>
      </c>
    </row>
    <row r="6" ht="22" customHeight="1">
      <c r="A6" s="66" t="n">
        <v>46174</v>
      </c>
      <c r="B6" s="46" t="inlineStr">
        <is>
          <t>美国</t>
        </is>
      </c>
      <c r="C6" s="62" t="n">
        <v>126.51</v>
      </c>
      <c r="D6" s="62" t="n"/>
      <c r="E6" s="67">
        <f>IF(OR(C6="",D6=""),"",D6*10000/C6)</f>
        <v/>
      </c>
      <c r="F6" s="46" t="inlineStr">
        <is>
          <t>https://online.customs.gov.cn/</t>
        </is>
      </c>
      <c r="G6" s="46" t="inlineStr">
        <is>
          <t>Wind 数据终端，2026-08-01 采集；分国别为吨换算万吨</t>
        </is>
      </c>
    </row>
    <row r="7" ht="22" customHeight="1">
      <c r="A7" s="66" t="n">
        <v>46174</v>
      </c>
      <c r="B7" s="46" t="inlineStr">
        <is>
          <t>其他(含未列明)</t>
        </is>
      </c>
      <c r="C7" s="62" t="n">
        <v>20.96</v>
      </c>
      <c r="D7" s="62" t="n"/>
      <c r="E7" s="67">
        <f>IF(OR(C7="",D7=""),"",D7*10000/C7)</f>
        <v/>
      </c>
      <c r="F7" s="46" t="inlineStr">
        <is>
          <t>https://online.customs.gov.cn/</t>
        </is>
      </c>
      <c r="G7" s="46" t="inlineStr">
        <is>
          <t>Wind 数据终端，2026-08-01 采集；分国别为吨换算万吨</t>
        </is>
      </c>
    </row>
    <row r="8" ht="22" customHeight="1">
      <c r="A8" s="66" t="n">
        <v>46143</v>
      </c>
      <c r="B8" s="46" t="inlineStr">
        <is>
          <t>巴西</t>
        </is>
      </c>
      <c r="C8" s="62" t="n">
        <v>995.6900000000001</v>
      </c>
      <c r="D8" s="62" t="n"/>
      <c r="E8" s="67">
        <f>IF(OR(C8="",D8=""),"",D8*10000/C8)</f>
        <v/>
      </c>
      <c r="F8" s="46" t="inlineStr">
        <is>
          <t>https://online.customs.gov.cn/</t>
        </is>
      </c>
      <c r="G8" s="46" t="inlineStr">
        <is>
          <t>Wind 数据终端，2026-08-01 采集；分国别为吨换算万吨</t>
        </is>
      </c>
    </row>
    <row r="9" ht="22" customHeight="1">
      <c r="A9" s="66" t="n">
        <v>46143</v>
      </c>
      <c r="B9" s="46" t="inlineStr">
        <is>
          <t>美国</t>
        </is>
      </c>
      <c r="C9" s="62" t="n">
        <v>166.11</v>
      </c>
      <c r="D9" s="62" t="n"/>
      <c r="E9" s="67">
        <f>IF(OR(C9="",D9=""),"",D9*10000/C9)</f>
        <v/>
      </c>
      <c r="F9" s="46" t="inlineStr">
        <is>
          <t>https://online.customs.gov.cn/</t>
        </is>
      </c>
      <c r="G9" s="46" t="inlineStr">
        <is>
          <t>Wind 数据终端，2026-08-01 采集；分国别为吨换算万吨</t>
        </is>
      </c>
    </row>
    <row r="10" ht="22" customHeight="1">
      <c r="A10" s="66" t="n">
        <v>46143</v>
      </c>
      <c r="B10" s="46" t="inlineStr">
        <is>
          <t>其他(含未列明)</t>
        </is>
      </c>
      <c r="C10" s="62" t="n">
        <v>17.2</v>
      </c>
      <c r="D10" s="62" t="n"/>
      <c r="E10" s="67">
        <f>IF(OR(C10="",D10=""),"",D10*10000/C10)</f>
        <v/>
      </c>
      <c r="F10" s="46" t="inlineStr">
        <is>
          <t>https://online.customs.gov.cn/</t>
        </is>
      </c>
      <c r="G10" s="46" t="inlineStr">
        <is>
          <t>Wind 数据终端，2026-08-01 采集；分国别为吨换算万吨</t>
        </is>
      </c>
    </row>
    <row r="11" ht="22" customHeight="1">
      <c r="A11" s="66" t="n">
        <v>46113</v>
      </c>
      <c r="B11" s="46" t="inlineStr">
        <is>
          <t>巴西</t>
        </is>
      </c>
      <c r="C11" s="62" t="n">
        <v>475.34</v>
      </c>
      <c r="D11" s="62" t="n"/>
      <c r="E11" s="67">
        <f>IF(OR(C11="",D11=""),"",D11*10000/C11)</f>
        <v/>
      </c>
      <c r="F11" s="46" t="inlineStr">
        <is>
          <t>https://online.customs.gov.cn/</t>
        </is>
      </c>
      <c r="G11" s="46" t="inlineStr">
        <is>
          <t>Wind 数据终端，2026-08-01 采集；分国别为吨换算万吨</t>
        </is>
      </c>
    </row>
    <row r="12" ht="22" customHeight="1">
      <c r="A12" s="66" t="n">
        <v>46113</v>
      </c>
      <c r="B12" s="46" t="inlineStr">
        <is>
          <t>美国</t>
        </is>
      </c>
      <c r="C12" s="62" t="n">
        <v>333.32</v>
      </c>
      <c r="D12" s="62" t="n"/>
      <c r="E12" s="67">
        <f>IF(OR(C12="",D12=""),"",D12*10000/C12)</f>
        <v/>
      </c>
      <c r="F12" s="46" t="inlineStr">
        <is>
          <t>https://online.customs.gov.cn/</t>
        </is>
      </c>
      <c r="G12" s="46" t="inlineStr">
        <is>
          <t>Wind 数据终端，2026-08-01 采集；分国别为吨换算万吨</t>
        </is>
      </c>
    </row>
    <row r="13" ht="22" customHeight="1">
      <c r="A13" s="66" t="n">
        <v>46113</v>
      </c>
      <c r="B13" s="46" t="inlineStr">
        <is>
          <t>其他(含未列明)</t>
        </is>
      </c>
      <c r="C13" s="62" t="n">
        <v>39.34</v>
      </c>
      <c r="D13" s="62" t="n"/>
      <c r="E13" s="67">
        <f>IF(OR(C13="",D13=""),"",D13*10000/C13)</f>
        <v/>
      </c>
      <c r="F13" s="46" t="inlineStr">
        <is>
          <t>https://online.customs.gov.cn/</t>
        </is>
      </c>
      <c r="G13" s="46" t="inlineStr">
        <is>
          <t>Wind 数据终端，2026-08-01 采集；分国别为吨换算万吨</t>
        </is>
      </c>
    </row>
    <row r="14" ht="22" customHeight="1">
      <c r="A14" s="66" t="n">
        <v>46082</v>
      </c>
      <c r="B14" s="46" t="inlineStr">
        <is>
          <t>巴西</t>
        </is>
      </c>
      <c r="C14" s="62" t="n">
        <v>140.41</v>
      </c>
      <c r="D14" s="62" t="n"/>
      <c r="E14" s="67">
        <f>IF(OR(C14="",D14=""),"",D14*10000/C14)</f>
        <v/>
      </c>
      <c r="F14" s="46" t="inlineStr">
        <is>
          <t>https://online.customs.gov.cn/</t>
        </is>
      </c>
      <c r="G14" s="46" t="inlineStr">
        <is>
          <t>Wind 数据终端，2026-08-01 采集；分国别为吨换算万吨</t>
        </is>
      </c>
    </row>
    <row r="15" ht="22" customHeight="1">
      <c r="A15" s="66" t="n">
        <v>46082</v>
      </c>
      <c r="B15" s="46" t="inlineStr">
        <is>
          <t>美国</t>
        </is>
      </c>
      <c r="C15" s="62" t="n">
        <v>162.97</v>
      </c>
      <c r="D15" s="62" t="n"/>
      <c r="E15" s="67">
        <f>IF(OR(C15="",D15=""),"",D15*10000/C15)</f>
        <v/>
      </c>
      <c r="F15" s="46" t="inlineStr">
        <is>
          <t>https://online.customs.gov.cn/</t>
        </is>
      </c>
      <c r="G15" s="46" t="inlineStr">
        <is>
          <t>Wind 数据终端，2026-08-01 采集；分国别为吨换算万吨</t>
        </is>
      </c>
    </row>
    <row r="16" ht="22" customHeight="1">
      <c r="A16" s="66" t="n">
        <v>46082</v>
      </c>
      <c r="B16" s="46" t="inlineStr">
        <is>
          <t>阿根廷</t>
        </is>
      </c>
      <c r="C16" s="62" t="n">
        <v>40.14</v>
      </c>
      <c r="D16" s="62" t="n"/>
      <c r="E16" s="67">
        <f>IF(OR(C16="",D16=""),"",D16*10000/C16)</f>
        <v/>
      </c>
      <c r="F16" s="46" t="inlineStr">
        <is>
          <t>https://online.customs.gov.cn/</t>
        </is>
      </c>
      <c r="G16" s="46" t="inlineStr">
        <is>
          <t>Wind 数据终端，2026-08-01 采集；分国别为吨换算万吨</t>
        </is>
      </c>
    </row>
    <row r="17" ht="22" customHeight="1">
      <c r="A17" s="66" t="n">
        <v>46082</v>
      </c>
      <c r="B17" s="46" t="inlineStr">
        <is>
          <t>其他(含未列明)</t>
        </is>
      </c>
      <c r="C17" s="62" t="n">
        <v>58.48</v>
      </c>
      <c r="D17" s="62" t="n"/>
      <c r="E17" s="67">
        <f>IF(OR(C17="",D17=""),"",D17*10000/C17)</f>
        <v/>
      </c>
      <c r="F17" s="46" t="inlineStr">
        <is>
          <t>https://online.customs.gov.cn/</t>
        </is>
      </c>
      <c r="G17" s="46" t="inlineStr">
        <is>
          <t>Wind 数据终端，2026-08-01 采集；分国别为吨换算万吨</t>
        </is>
      </c>
    </row>
    <row r="18" ht="22" customHeight="1">
      <c r="A18" s="66" t="n">
        <v>46054</v>
      </c>
      <c r="B18" s="46" t="inlineStr">
        <is>
          <t>巴西</t>
        </is>
      </c>
      <c r="C18" s="62" t="n">
        <v>230.36</v>
      </c>
      <c r="D18" s="62" t="n"/>
      <c r="E18" s="67">
        <f>IF(OR(C18="",D18=""),"",D18*10000/C18)</f>
        <v/>
      </c>
      <c r="F18" s="46" t="inlineStr">
        <is>
          <t>https://online.customs.gov.cn/</t>
        </is>
      </c>
      <c r="G18" s="46" t="inlineStr">
        <is>
          <t>Wind 数据终端，2026-08-01 采集；分国别为吨换算万吨</t>
        </is>
      </c>
    </row>
    <row r="19" ht="22" customHeight="1">
      <c r="A19" s="66" t="n">
        <v>46054</v>
      </c>
      <c r="B19" s="46" t="inlineStr">
        <is>
          <t>美国</t>
        </is>
      </c>
      <c r="C19" s="62" t="n">
        <v>138.15</v>
      </c>
      <c r="D19" s="62" t="n"/>
      <c r="E19" s="67">
        <f>IF(OR(C19="",D19=""),"",D19*10000/C19)</f>
        <v/>
      </c>
      <c r="F19" s="46" t="inlineStr">
        <is>
          <t>https://online.customs.gov.cn/</t>
        </is>
      </c>
      <c r="G19" s="46" t="inlineStr">
        <is>
          <t>Wind 数据终端，2026-08-01 采集；分国别为吨换算万吨</t>
        </is>
      </c>
    </row>
    <row r="20" ht="22" customHeight="1">
      <c r="A20" s="66" t="n">
        <v>46054</v>
      </c>
      <c r="B20" s="46" t="inlineStr">
        <is>
          <t>阿根廷</t>
        </is>
      </c>
      <c r="C20" s="62" t="n">
        <v>165.49</v>
      </c>
      <c r="D20" s="62" t="n"/>
      <c r="E20" s="67">
        <f>IF(OR(C20="",D20=""),"",D20*10000/C20)</f>
        <v/>
      </c>
      <c r="F20" s="46" t="inlineStr">
        <is>
          <t>https://online.customs.gov.cn/</t>
        </is>
      </c>
      <c r="G20" s="46" t="inlineStr">
        <is>
          <t>Wind 数据终端，2026-08-01 采集；分国别为吨换算万吨</t>
        </is>
      </c>
    </row>
    <row r="21" ht="22" customHeight="1">
      <c r="A21" s="66" t="n">
        <v>46054</v>
      </c>
      <c r="B21" s="46" t="inlineStr">
        <is>
          <t>其他(含未列明)</t>
        </is>
      </c>
      <c r="C21" s="62" t="n">
        <v>64</v>
      </c>
      <c r="D21" s="62" t="n"/>
      <c r="E21" s="67">
        <f>IF(OR(C21="",D21=""),"",D21*10000/C21)</f>
        <v/>
      </c>
      <c r="F21" s="46" t="inlineStr">
        <is>
          <t>https://online.customs.gov.cn/</t>
        </is>
      </c>
      <c r="G21" s="46" t="inlineStr">
        <is>
          <t>Wind 数据终端，2026-08-01 采集；分国别为吨换算万吨</t>
        </is>
      </c>
    </row>
    <row r="22" ht="22" customHeight="1">
      <c r="A22" s="66" t="n">
        <v>46023</v>
      </c>
      <c r="B22" s="46" t="inlineStr">
        <is>
          <t>巴西</t>
        </is>
      </c>
      <c r="C22" s="62" t="n">
        <v>425.85</v>
      </c>
      <c r="D22" s="62" t="n"/>
      <c r="E22" s="67">
        <f>IF(OR(C22="",D22=""),"",D22*10000/C22)</f>
        <v/>
      </c>
      <c r="F22" s="46" t="inlineStr">
        <is>
          <t>https://online.customs.gov.cn/</t>
        </is>
      </c>
      <c r="G22" s="46" t="inlineStr">
        <is>
          <t>Wind 数据终端，2026-08-01 采集；分国别为吨换算万吨</t>
        </is>
      </c>
    </row>
    <row r="23" ht="22" customHeight="1">
      <c r="A23" s="66" t="n">
        <v>46023</v>
      </c>
      <c r="B23" s="46" t="inlineStr">
        <is>
          <t>美国</t>
        </is>
      </c>
      <c r="C23" s="62" t="n">
        <v>3.83</v>
      </c>
      <c r="D23" s="62" t="n"/>
      <c r="E23" s="67">
        <f>IF(OR(C23="",D23=""),"",D23*10000/C23)</f>
        <v/>
      </c>
      <c r="F23" s="46" t="inlineStr">
        <is>
          <t>https://online.customs.gov.cn/</t>
        </is>
      </c>
      <c r="G23" s="46" t="inlineStr">
        <is>
          <t>Wind 数据终端，2026-08-01 采集；分国别为吨换算万吨</t>
        </is>
      </c>
    </row>
    <row r="24" ht="22" customHeight="1">
      <c r="A24" s="66" t="n">
        <v>46023</v>
      </c>
      <c r="B24" s="46" t="inlineStr">
        <is>
          <t>阿根廷</t>
        </is>
      </c>
      <c r="C24" s="62" t="n">
        <v>166.95</v>
      </c>
      <c r="D24" s="62" t="n"/>
      <c r="E24" s="67">
        <f>IF(OR(C24="",D24=""),"",D24*10000/C24)</f>
        <v/>
      </c>
      <c r="F24" s="46" t="inlineStr">
        <is>
          <t>https://online.customs.gov.cn/</t>
        </is>
      </c>
      <c r="G24" s="46" t="inlineStr">
        <is>
          <t>Wind 数据终端，2026-08-01 采集；分国别为吨换算万吨</t>
        </is>
      </c>
    </row>
    <row r="25">
      <c r="A25" s="68" t="n">
        <v>46023</v>
      </c>
      <c r="B25" t="inlineStr">
        <is>
          <t>其他(含未列明)</t>
        </is>
      </c>
      <c r="C25" t="n">
        <v>60.37</v>
      </c>
      <c r="F25" t="inlineStr">
        <is>
          <t>https://online.customs.gov.cn/</t>
        </is>
      </c>
      <c r="G25" t="inlineStr">
        <is>
          <t>Wind 数据终端，2026-08-01 采集；分国别为吨换算万吨</t>
        </is>
      </c>
    </row>
    <row r="26">
      <c r="A26" s="68" t="n">
        <v>45992</v>
      </c>
      <c r="B26" t="inlineStr">
        <is>
          <t>巴西</t>
        </is>
      </c>
      <c r="C26" t="n">
        <v>565.5</v>
      </c>
      <c r="F26" t="inlineStr">
        <is>
          <t>https://online.customs.gov.cn/</t>
        </is>
      </c>
      <c r="G26" t="inlineStr">
        <is>
          <t>Wind 数据终端，2026-08-01 采集；分国别为吨换算万吨</t>
        </is>
      </c>
    </row>
    <row r="27">
      <c r="A27" s="68" t="n">
        <v>45992</v>
      </c>
      <c r="B27" t="inlineStr">
        <is>
          <t>阿根廷</t>
        </is>
      </c>
      <c r="C27" t="n">
        <v>165.11</v>
      </c>
      <c r="F27" t="inlineStr">
        <is>
          <t>https://online.customs.gov.cn/</t>
        </is>
      </c>
      <c r="G27" t="inlineStr">
        <is>
          <t>Wind 数据终端，2026-08-01 采集；分国别为吨换算万吨</t>
        </is>
      </c>
    </row>
    <row r="28">
      <c r="A28" s="68" t="n">
        <v>45992</v>
      </c>
      <c r="B28" t="inlineStr">
        <is>
          <t>其他(含未列明)</t>
        </is>
      </c>
      <c r="C28" t="n">
        <v>73.39</v>
      </c>
      <c r="F28" t="inlineStr">
        <is>
          <t>https://online.customs.gov.cn/</t>
        </is>
      </c>
      <c r="G28" t="inlineStr">
        <is>
          <t>Wind 数据终端，2026-08-01 采集；分国别为吨换算万吨</t>
        </is>
      </c>
    </row>
    <row r="29">
      <c r="A29" s="68" t="n">
        <v>45962</v>
      </c>
      <c r="B29" t="inlineStr">
        <is>
          <t>巴西</t>
        </is>
      </c>
      <c r="C29" t="n">
        <v>585.26</v>
      </c>
      <c r="F29" t="inlineStr">
        <is>
          <t>https://online.customs.gov.cn/</t>
        </is>
      </c>
      <c r="G29" t="inlineStr">
        <is>
          <t>Wind 数据终端，2026-08-01 采集；分国别为吨换算万吨</t>
        </is>
      </c>
    </row>
    <row r="30">
      <c r="A30" s="68" t="n">
        <v>45962</v>
      </c>
      <c r="B30" t="inlineStr">
        <is>
          <t>阿根廷</t>
        </is>
      </c>
      <c r="C30" t="n">
        <v>177.7</v>
      </c>
      <c r="F30" t="inlineStr">
        <is>
          <t>https://online.customs.gov.cn/</t>
        </is>
      </c>
      <c r="G30" t="inlineStr">
        <is>
          <t>Wind 数据终端，2026-08-01 采集；分国别为吨换算万吨</t>
        </is>
      </c>
    </row>
    <row r="31">
      <c r="A31" s="68" t="n">
        <v>45962</v>
      </c>
      <c r="B31" t="inlineStr">
        <is>
          <t>其他(含未列明)</t>
        </is>
      </c>
      <c r="C31" t="n">
        <v>48.04</v>
      </c>
      <c r="F31" t="inlineStr">
        <is>
          <t>https://online.customs.gov.cn/</t>
        </is>
      </c>
      <c r="G31" t="inlineStr">
        <is>
          <t>Wind 数据终端，2026-08-01 采集；分国别为吨换算万吨</t>
        </is>
      </c>
    </row>
    <row r="32">
      <c r="A32" s="68" t="n">
        <v>45931</v>
      </c>
      <c r="B32" t="inlineStr">
        <is>
          <t>巴西</t>
        </is>
      </c>
      <c r="C32" t="n">
        <v>711.51</v>
      </c>
      <c r="F32" t="inlineStr">
        <is>
          <t>https://online.customs.gov.cn/</t>
        </is>
      </c>
      <c r="G32" t="inlineStr">
        <is>
          <t>Wind 数据终端，2026-08-01 采集；分国别为吨换算万吨</t>
        </is>
      </c>
    </row>
    <row r="33">
      <c r="A33" s="68" t="n">
        <v>45931</v>
      </c>
      <c r="B33" t="inlineStr">
        <is>
          <t>阿根廷</t>
        </is>
      </c>
      <c r="C33" t="n">
        <v>156.7</v>
      </c>
      <c r="F33" t="inlineStr">
        <is>
          <t>https://online.customs.gov.cn/</t>
        </is>
      </c>
      <c r="G33" t="inlineStr">
        <is>
          <t>Wind 数据终端，2026-08-01 采集；分国别为吨换算万吨</t>
        </is>
      </c>
    </row>
    <row r="34">
      <c r="A34" s="68" t="n">
        <v>45931</v>
      </c>
      <c r="B34" t="inlineStr">
        <is>
          <t>其他(含未列明)</t>
        </is>
      </c>
      <c r="C34" t="n">
        <v>79.79000000000001</v>
      </c>
      <c r="F34" t="inlineStr">
        <is>
          <t>https://online.customs.gov.cn/</t>
        </is>
      </c>
      <c r="G34" t="inlineStr">
        <is>
          <t>Wind 数据终端，2026-08-01 采集；分国别为吨换算万吨</t>
        </is>
      </c>
    </row>
    <row r="35">
      <c r="A35" s="68" t="n">
        <v>45901</v>
      </c>
      <c r="B35" t="inlineStr">
        <is>
          <t>巴西</t>
        </is>
      </c>
      <c r="C35" t="n">
        <v>1095.94</v>
      </c>
      <c r="F35" t="inlineStr">
        <is>
          <t>https://online.customs.gov.cn/</t>
        </is>
      </c>
      <c r="G35" t="inlineStr">
        <is>
          <t>Wind 数据终端，2026-08-01 采集；分国别为吨换算万吨</t>
        </is>
      </c>
    </row>
    <row r="36">
      <c r="A36" s="68" t="n">
        <v>45901</v>
      </c>
      <c r="B36" t="inlineStr">
        <is>
          <t>阿根廷</t>
        </is>
      </c>
      <c r="C36" t="n">
        <v>117.34</v>
      </c>
      <c r="F36" t="inlineStr">
        <is>
          <t>https://online.customs.gov.cn/</t>
        </is>
      </c>
      <c r="G36" t="inlineStr">
        <is>
          <t>Wind 数据终端，2026-08-01 采集；分国别为吨换算万吨</t>
        </is>
      </c>
    </row>
    <row r="37">
      <c r="A37" s="68" t="n">
        <v>45901</v>
      </c>
      <c r="B37" t="inlineStr">
        <is>
          <t>其他(含未列明)</t>
        </is>
      </c>
      <c r="C37" t="n">
        <v>73.72</v>
      </c>
      <c r="F37" t="inlineStr">
        <is>
          <t>https://online.customs.gov.cn/</t>
        </is>
      </c>
      <c r="G37" t="inlineStr">
        <is>
          <t>Wind 数据终端，2026-08-01 采集；分国别为吨换算万吨</t>
        </is>
      </c>
    </row>
    <row r="38">
      <c r="A38" s="68" t="n">
        <v>45870</v>
      </c>
      <c r="B38" t="inlineStr">
        <is>
          <t>巴西</t>
        </is>
      </c>
      <c r="C38" t="n">
        <v>1048.4</v>
      </c>
      <c r="F38" t="inlineStr">
        <is>
          <t>https://online.customs.gov.cn/</t>
        </is>
      </c>
      <c r="G38" t="inlineStr">
        <is>
          <t>Wind 数据终端，2026-08-01 采集；分国别为吨换算万吨</t>
        </is>
      </c>
    </row>
    <row r="39">
      <c r="A39" s="68" t="n">
        <v>45870</v>
      </c>
      <c r="B39" t="inlineStr">
        <is>
          <t>美国</t>
        </is>
      </c>
      <c r="C39" t="n">
        <v>22.72</v>
      </c>
      <c r="F39" t="inlineStr">
        <is>
          <t>https://online.customs.gov.cn/</t>
        </is>
      </c>
      <c r="G39" t="inlineStr">
        <is>
          <t>Wind 数据终端，2026-08-01 采集；分国别为吨换算万吨</t>
        </is>
      </c>
    </row>
    <row r="40">
      <c r="A40" s="68" t="n">
        <v>45870</v>
      </c>
      <c r="B40" t="inlineStr">
        <is>
          <t>阿根廷</t>
        </is>
      </c>
      <c r="C40" t="n">
        <v>105.1</v>
      </c>
      <c r="F40" t="inlineStr">
        <is>
          <t>https://online.customs.gov.cn/</t>
        </is>
      </c>
      <c r="G40" t="inlineStr">
        <is>
          <t>Wind 数据终端，2026-08-01 采集；分国别为吨换算万吨</t>
        </is>
      </c>
    </row>
    <row r="41">
      <c r="A41" s="68" t="n">
        <v>45870</v>
      </c>
      <c r="B41" t="inlineStr">
        <is>
          <t>其他(含未列明)</t>
        </is>
      </c>
      <c r="C41" t="n">
        <v>51.78</v>
      </c>
      <c r="F41" t="inlineStr">
        <is>
          <t>https://online.customs.gov.cn/</t>
        </is>
      </c>
      <c r="G41" t="inlineStr">
        <is>
          <t>Wind 数据终端，2026-08-01 采集；分国别为吨换算万吨</t>
        </is>
      </c>
    </row>
    <row r="42">
      <c r="A42" s="68" t="n">
        <v>45839</v>
      </c>
      <c r="B42" t="inlineStr">
        <is>
          <t>巴西</t>
        </is>
      </c>
      <c r="C42" t="n">
        <v>1039.14</v>
      </c>
      <c r="F42" t="inlineStr">
        <is>
          <t>https://online.customs.gov.cn/</t>
        </is>
      </c>
      <c r="G42" t="inlineStr">
        <is>
          <t>Wind 数据终端，2026-08-01 采集；分国别为吨换算万吨</t>
        </is>
      </c>
    </row>
    <row r="43">
      <c r="A43" s="68" t="n">
        <v>45839</v>
      </c>
      <c r="B43" t="inlineStr">
        <is>
          <t>美国</t>
        </is>
      </c>
      <c r="C43" t="n">
        <v>42.09</v>
      </c>
      <c r="F43" t="inlineStr">
        <is>
          <t>https://online.customs.gov.cn/</t>
        </is>
      </c>
      <c r="G43" t="inlineStr">
        <is>
          <t>Wind 数据终端，2026-08-01 采集；分国别为吨换算万吨</t>
        </is>
      </c>
    </row>
    <row r="44">
      <c r="A44" s="68" t="n">
        <v>45839</v>
      </c>
      <c r="B44" t="inlineStr">
        <is>
          <t>阿根廷</t>
        </is>
      </c>
      <c r="C44" t="n">
        <v>56.1</v>
      </c>
      <c r="F44" t="inlineStr">
        <is>
          <t>https://online.customs.gov.cn/</t>
        </is>
      </c>
      <c r="G44" t="inlineStr">
        <is>
          <t>Wind 数据终端，2026-08-01 采集；分国别为吨换算万吨</t>
        </is>
      </c>
    </row>
    <row r="45">
      <c r="A45" s="68" t="n">
        <v>45839</v>
      </c>
      <c r="B45" t="inlineStr">
        <is>
          <t>其他(含未列明)</t>
        </is>
      </c>
      <c r="C45" t="n">
        <v>29.67</v>
      </c>
      <c r="F45" t="inlineStr">
        <is>
          <t>https://online.customs.gov.cn/</t>
        </is>
      </c>
      <c r="G45" t="inlineStr">
        <is>
          <t>Wind 数据终端，2026-08-01 采集；分国别为吨换算万吨</t>
        </is>
      </c>
    </row>
    <row r="46">
      <c r="A46" s="68" t="n">
        <v>45809</v>
      </c>
      <c r="B46" t="inlineStr">
        <is>
          <t>巴西</t>
        </is>
      </c>
      <c r="C46" t="n">
        <v>1061.52</v>
      </c>
      <c r="F46" t="inlineStr">
        <is>
          <t>https://online.customs.gov.cn/</t>
        </is>
      </c>
      <c r="G46" t="inlineStr">
        <is>
          <t>Wind 数据终端，2026-08-01 采集；分国别为吨换算万吨</t>
        </is>
      </c>
    </row>
    <row r="47">
      <c r="A47" s="68" t="n">
        <v>45809</v>
      </c>
      <c r="B47" t="inlineStr">
        <is>
          <t>美国</t>
        </is>
      </c>
      <c r="C47" t="n">
        <v>159.92</v>
      </c>
      <c r="F47" t="inlineStr">
        <is>
          <t>https://online.customs.gov.cn/</t>
        </is>
      </c>
      <c r="G47" t="inlineStr">
        <is>
          <t>Wind 数据终端，2026-08-01 采集；分国别为吨换算万吨</t>
        </is>
      </c>
    </row>
    <row r="48">
      <c r="A48" s="68" t="n">
        <v>45809</v>
      </c>
      <c r="B48" t="inlineStr">
        <is>
          <t>其他(含未列明)</t>
        </is>
      </c>
      <c r="C48" t="n">
        <v>4.56</v>
      </c>
      <c r="F48" t="inlineStr">
        <is>
          <t>https://online.customs.gov.cn/</t>
        </is>
      </c>
      <c r="G48" t="inlineStr">
        <is>
          <t>Wind 数据终端，2026-08-01 采集；分国别为吨换算万吨</t>
        </is>
      </c>
    </row>
    <row r="49">
      <c r="A49" s="68" t="n">
        <v>45778</v>
      </c>
      <c r="B49" t="inlineStr">
        <is>
          <t>巴西</t>
        </is>
      </c>
      <c r="C49" t="n">
        <v>1210.93</v>
      </c>
      <c r="F49" t="inlineStr">
        <is>
          <t>https://online.customs.gov.cn/</t>
        </is>
      </c>
      <c r="G49" t="inlineStr">
        <is>
          <t>Wind 数据终端，2026-08-01 采集；分国别为吨换算万吨</t>
        </is>
      </c>
    </row>
    <row r="50">
      <c r="A50" s="68" t="n">
        <v>45778</v>
      </c>
      <c r="B50" t="inlineStr">
        <is>
          <t>美国</t>
        </is>
      </c>
      <c r="C50" t="n">
        <v>162.73</v>
      </c>
      <c r="F50" t="inlineStr">
        <is>
          <t>https://online.customs.gov.cn/</t>
        </is>
      </c>
      <c r="G50" t="inlineStr">
        <is>
          <t>Wind 数据终端，2026-08-01 采集；分国别为吨换算万吨</t>
        </is>
      </c>
    </row>
    <row r="51">
      <c r="A51" s="68" t="n">
        <v>45778</v>
      </c>
      <c r="B51" t="inlineStr">
        <is>
          <t>其他(含未列明)</t>
        </is>
      </c>
      <c r="C51" t="n">
        <v>18.34</v>
      </c>
      <c r="F51" t="inlineStr">
        <is>
          <t>https://online.customs.gov.cn/</t>
        </is>
      </c>
      <c r="G51" t="inlineStr">
        <is>
          <t>Wind 数据终端，2026-08-01 采集；分国别为吨换算万吨</t>
        </is>
      </c>
    </row>
    <row r="52">
      <c r="A52" s="68" t="n">
        <v>45748</v>
      </c>
      <c r="B52" t="inlineStr">
        <is>
          <t>巴西</t>
        </is>
      </c>
      <c r="C52" t="n">
        <v>459.88</v>
      </c>
      <c r="F52" t="inlineStr">
        <is>
          <t>https://online.customs.gov.cn/</t>
        </is>
      </c>
      <c r="G52" t="inlineStr">
        <is>
          <t>Wind 数据终端，2026-08-01 采集；分国别为吨换算万吨</t>
        </is>
      </c>
    </row>
    <row r="53">
      <c r="A53" s="68" t="n">
        <v>45748</v>
      </c>
      <c r="B53" t="inlineStr">
        <is>
          <t>美国</t>
        </is>
      </c>
      <c r="C53" t="n">
        <v>137.79</v>
      </c>
      <c r="F53" t="inlineStr">
        <is>
          <t>https://online.customs.gov.cn/</t>
        </is>
      </c>
      <c r="G53" t="inlineStr">
        <is>
          <t>Wind 数据终端，2026-08-01 采集；分国别为吨换算万吨</t>
        </is>
      </c>
    </row>
    <row r="54">
      <c r="A54" s="68" t="n">
        <v>45748</v>
      </c>
      <c r="B54" t="inlineStr">
        <is>
          <t>其他(含未列明)</t>
        </is>
      </c>
      <c r="C54" t="n">
        <v>10.33</v>
      </c>
      <c r="F54" t="inlineStr">
        <is>
          <t>https://online.customs.gov.cn/</t>
        </is>
      </c>
      <c r="G54" t="inlineStr">
        <is>
          <t>Wind 数据终端，2026-08-01 采集；分国别为吨换算万吨</t>
        </is>
      </c>
    </row>
    <row r="55">
      <c r="A55" s="68" t="n">
        <v>45717</v>
      </c>
      <c r="B55" t="inlineStr">
        <is>
          <t>巴西</t>
        </is>
      </c>
      <c r="C55" t="n">
        <v>95.09999999999999</v>
      </c>
      <c r="F55" t="inlineStr">
        <is>
          <t>https://online.customs.gov.cn/</t>
        </is>
      </c>
      <c r="G55" t="inlineStr">
        <is>
          <t>Wind 数据终端，2026-08-01 采集；分国别为吨换算万吨</t>
        </is>
      </c>
    </row>
    <row r="56">
      <c r="A56" s="68" t="n">
        <v>45717</v>
      </c>
      <c r="B56" t="inlineStr">
        <is>
          <t>美国</t>
        </is>
      </c>
      <c r="C56" t="n">
        <v>243.61</v>
      </c>
      <c r="F56" t="inlineStr">
        <is>
          <t>https://online.customs.gov.cn/</t>
        </is>
      </c>
      <c r="G56" t="inlineStr">
        <is>
          <t>Wind 数据终端，2026-08-01 采集；分国别为吨换算万吨</t>
        </is>
      </c>
    </row>
    <row r="57">
      <c r="A57" s="68" t="n">
        <v>45717</v>
      </c>
      <c r="B57" t="inlineStr">
        <is>
          <t>其他(含未列明)</t>
        </is>
      </c>
      <c r="C57" t="n">
        <v>11.29</v>
      </c>
      <c r="F57" t="inlineStr">
        <is>
          <t>https://online.customs.gov.cn/</t>
        </is>
      </c>
      <c r="G57" t="inlineStr">
        <is>
          <t>Wind 数据终端，2026-08-01 采集；分国别为吨换算万吨</t>
        </is>
      </c>
    </row>
    <row r="58">
      <c r="A58" s="68" t="n">
        <v>45689</v>
      </c>
      <c r="B58" t="inlineStr">
        <is>
          <t>巴西</t>
        </is>
      </c>
      <c r="C58" t="n">
        <v>136.91</v>
      </c>
      <c r="F58" t="inlineStr">
        <is>
          <t>https://online.customs.gov.cn/</t>
        </is>
      </c>
      <c r="G58" t="inlineStr">
        <is>
          <t>Wind 数据终端，2026-08-01 采集；分国别为吨换算万吨</t>
        </is>
      </c>
    </row>
    <row r="59">
      <c r="A59" s="68" t="n">
        <v>45689</v>
      </c>
      <c r="B59" t="inlineStr">
        <is>
          <t>美国</t>
        </is>
      </c>
      <c r="C59" t="n">
        <v>421.38</v>
      </c>
      <c r="F59" t="inlineStr">
        <is>
          <t>https://online.customs.gov.cn/</t>
        </is>
      </c>
      <c r="G59" t="inlineStr">
        <is>
          <t>Wind 数据终端，2026-08-01 采集；分国别为吨换算万吨</t>
        </is>
      </c>
    </row>
    <row r="60">
      <c r="A60" s="68" t="n">
        <v>45689</v>
      </c>
      <c r="B60" t="inlineStr">
        <is>
          <t>其他(含未列明)</t>
        </is>
      </c>
      <c r="C60" t="n">
        <v>24.71</v>
      </c>
      <c r="F60" t="inlineStr">
        <is>
          <t>https://online.customs.gov.cn/</t>
        </is>
      </c>
      <c r="G60" t="inlineStr">
        <is>
          <t>Wind 数据终端，2026-08-01 采集；分国别为吨换算万吨</t>
        </is>
      </c>
    </row>
    <row r="61">
      <c r="A61" s="68" t="n">
        <v>45658</v>
      </c>
      <c r="B61" t="inlineStr">
        <is>
          <t>巴西</t>
        </is>
      </c>
      <c r="C61" t="n">
        <v>222.03</v>
      </c>
      <c r="F61" t="inlineStr">
        <is>
          <t>https://online.customs.gov.cn/</t>
        </is>
      </c>
      <c r="G61" t="inlineStr">
        <is>
          <t>Wind 数据终端，2026-08-01 采集；分国别为吨换算万吨</t>
        </is>
      </c>
    </row>
    <row r="62">
      <c r="A62" s="68" t="n">
        <v>45658</v>
      </c>
      <c r="B62" t="inlineStr">
        <is>
          <t>美国</t>
        </is>
      </c>
      <c r="C62" t="n">
        <v>491.85</v>
      </c>
      <c r="F62" t="inlineStr">
        <is>
          <t>https://online.customs.gov.cn/</t>
        </is>
      </c>
      <c r="G62" t="inlineStr">
        <is>
          <t>Wind 数据终端，2026-08-01 采集；分国别为吨换算万吨</t>
        </is>
      </c>
    </row>
    <row r="63">
      <c r="A63" s="68" t="n">
        <v>45658</v>
      </c>
      <c r="B63" t="inlineStr">
        <is>
          <t>阿根廷</t>
        </is>
      </c>
      <c r="C63" t="n">
        <v>11.16</v>
      </c>
      <c r="F63" t="inlineStr">
        <is>
          <t>https://online.customs.gov.cn/</t>
        </is>
      </c>
      <c r="G63" t="inlineStr">
        <is>
          <t>Wind 数据终端，2026-08-01 采集；分国别为吨换算万吨</t>
        </is>
      </c>
    </row>
    <row r="64">
      <c r="A64" s="68" t="n">
        <v>45658</v>
      </c>
      <c r="B64" t="inlineStr">
        <is>
          <t>其他(含未列明)</t>
        </is>
      </c>
      <c r="C64" t="n">
        <v>52.96</v>
      </c>
      <c r="F64" t="inlineStr">
        <is>
          <t>https://online.customs.gov.cn/</t>
        </is>
      </c>
      <c r="G64" t="inlineStr">
        <is>
          <t>Wind 数据终端，2026-08-01 采集；分国别为吨换算万吨</t>
        </is>
      </c>
    </row>
    <row r="65">
      <c r="A65" s="68" t="n">
        <v>45627</v>
      </c>
      <c r="B65" t="inlineStr">
        <is>
          <t>巴西</t>
        </is>
      </c>
      <c r="C65" t="n">
        <v>293.54</v>
      </c>
      <c r="F65" t="inlineStr">
        <is>
          <t>https://online.customs.gov.cn/</t>
        </is>
      </c>
      <c r="G65" t="inlineStr">
        <is>
          <t>Wind 数据终端，2026-08-01 采集；分国别为吨换算万吨</t>
        </is>
      </c>
    </row>
    <row r="66">
      <c r="A66" s="68" t="n">
        <v>45627</v>
      </c>
      <c r="B66" t="inlineStr">
        <is>
          <t>美国</t>
        </is>
      </c>
      <c r="C66" t="n">
        <v>425.49</v>
      </c>
      <c r="F66" t="inlineStr">
        <is>
          <t>https://online.customs.gov.cn/</t>
        </is>
      </c>
      <c r="G66" t="inlineStr">
        <is>
          <t>Wind 数据终端，2026-08-01 采集；分国别为吨换算万吨</t>
        </is>
      </c>
    </row>
    <row r="67">
      <c r="A67" s="68" t="n">
        <v>45627</v>
      </c>
      <c r="B67" t="inlineStr">
        <is>
          <t>阿根廷</t>
        </is>
      </c>
      <c r="C67" t="n">
        <v>26.43</v>
      </c>
      <c r="F67" t="inlineStr">
        <is>
          <t>https://online.customs.gov.cn/</t>
        </is>
      </c>
      <c r="G67" t="inlineStr">
        <is>
          <t>Wind 数据终端，2026-08-01 采集；分国别为吨换算万吨</t>
        </is>
      </c>
    </row>
    <row r="68">
      <c r="A68" s="68" t="n">
        <v>45627</v>
      </c>
      <c r="B68" t="inlineStr">
        <is>
          <t>其他(含未列明)</t>
        </is>
      </c>
      <c r="C68" t="n">
        <v>48.54</v>
      </c>
      <c r="F68" t="inlineStr">
        <is>
          <t>https://online.customs.gov.cn/</t>
        </is>
      </c>
      <c r="G68" t="inlineStr">
        <is>
          <t>Wind 数据终端，2026-08-01 采集；分国别为吨换算万吨</t>
        </is>
      </c>
    </row>
    <row r="69">
      <c r="A69" s="68" t="n">
        <v>45597</v>
      </c>
      <c r="B69" t="inlineStr">
        <is>
          <t>巴西</t>
        </is>
      </c>
      <c r="C69" t="n">
        <v>393.96</v>
      </c>
      <c r="F69" t="inlineStr">
        <is>
          <t>https://online.customs.gov.cn/</t>
        </is>
      </c>
      <c r="G69" t="inlineStr">
        <is>
          <t>Wind 数据终端，2026-08-01 采集；分国别为吨换算万吨</t>
        </is>
      </c>
    </row>
    <row r="70">
      <c r="A70" s="68" t="n">
        <v>45597</v>
      </c>
      <c r="B70" t="inlineStr">
        <is>
          <t>美国</t>
        </is>
      </c>
      <c r="C70" t="n">
        <v>279.15</v>
      </c>
      <c r="F70" t="inlineStr">
        <is>
          <t>https://online.customs.gov.cn/</t>
        </is>
      </c>
      <c r="G70" t="inlineStr">
        <is>
          <t>Wind 数据终端，2026-08-01 采集；分国别为吨换算万吨</t>
        </is>
      </c>
    </row>
    <row r="71">
      <c r="A71" s="68" t="n">
        <v>45597</v>
      </c>
      <c r="B71" t="inlineStr">
        <is>
          <t>阿根廷</t>
        </is>
      </c>
      <c r="C71" t="n">
        <v>24.22</v>
      </c>
      <c r="F71" t="inlineStr">
        <is>
          <t>https://online.customs.gov.cn/</t>
        </is>
      </c>
      <c r="G71" t="inlineStr">
        <is>
          <t>Wind 数据终端，2026-08-01 采集；分国别为吨换算万吨</t>
        </is>
      </c>
    </row>
    <row r="72">
      <c r="A72" s="68" t="n">
        <v>45597</v>
      </c>
      <c r="B72" t="inlineStr">
        <is>
          <t>其他(含未列明)</t>
        </is>
      </c>
      <c r="C72" t="n">
        <v>17.67</v>
      </c>
      <c r="F72" t="inlineStr">
        <is>
          <t>https://online.customs.gov.cn/</t>
        </is>
      </c>
      <c r="G72" t="inlineStr">
        <is>
          <t>Wind 数据终端，2026-08-01 采集；分国别为吨换算万吨</t>
        </is>
      </c>
    </row>
    <row r="73">
      <c r="A73" s="68" t="n">
        <v>45566</v>
      </c>
      <c r="B73" t="inlineStr">
        <is>
          <t>巴西</t>
        </is>
      </c>
      <c r="C73" t="n">
        <v>553.39</v>
      </c>
      <c r="F73" t="inlineStr">
        <is>
          <t>https://online.customs.gov.cn/</t>
        </is>
      </c>
      <c r="G73" t="inlineStr">
        <is>
          <t>Wind 数据终端，2026-08-01 采集；分国别为吨换算万吨</t>
        </is>
      </c>
    </row>
    <row r="74">
      <c r="A74" s="68" t="n">
        <v>45566</v>
      </c>
      <c r="B74" t="inlineStr">
        <is>
          <t>美国</t>
        </is>
      </c>
      <c r="C74" t="n">
        <v>54.14</v>
      </c>
      <c r="F74" t="inlineStr">
        <is>
          <t>https://online.customs.gov.cn/</t>
        </is>
      </c>
      <c r="G74" t="inlineStr">
        <is>
          <t>Wind 数据终端，2026-08-01 采集；分国别为吨换算万吨</t>
        </is>
      </c>
    </row>
    <row r="75">
      <c r="A75" s="68" t="n">
        <v>45566</v>
      </c>
      <c r="B75" t="inlineStr">
        <is>
          <t>阿根廷</t>
        </is>
      </c>
      <c r="C75" t="n">
        <v>136.28</v>
      </c>
      <c r="F75" t="inlineStr">
        <is>
          <t>https://online.customs.gov.cn/</t>
        </is>
      </c>
      <c r="G75" t="inlineStr">
        <is>
          <t>Wind 数据终端，2026-08-01 采集；分国别为吨换算万吨</t>
        </is>
      </c>
    </row>
    <row r="76">
      <c r="A76" s="68" t="n">
        <v>45566</v>
      </c>
      <c r="B76" t="inlineStr">
        <is>
          <t>其他(含未列明)</t>
        </is>
      </c>
      <c r="C76" t="n">
        <v>65.19</v>
      </c>
      <c r="F76" t="inlineStr">
        <is>
          <t>https://online.customs.gov.cn/</t>
        </is>
      </c>
      <c r="G76" t="inlineStr">
        <is>
          <t>Wind 数据终端，2026-08-01 采集；分国别为吨换算万吨</t>
        </is>
      </c>
    </row>
    <row r="77">
      <c r="A77" s="68" t="n">
        <v>45536</v>
      </c>
      <c r="B77" t="inlineStr">
        <is>
          <t>巴西</t>
        </is>
      </c>
      <c r="C77" t="n">
        <v>844.47</v>
      </c>
      <c r="F77" t="inlineStr">
        <is>
          <t>https://online.customs.gov.cn/</t>
        </is>
      </c>
      <c r="G77" t="inlineStr">
        <is>
          <t>Wind 数据终端，2026-08-01 采集；分国别为吨换算万吨</t>
        </is>
      </c>
    </row>
    <row r="78">
      <c r="A78" s="68" t="n">
        <v>45536</v>
      </c>
      <c r="B78" t="inlineStr">
        <is>
          <t>美国</t>
        </is>
      </c>
      <c r="C78" t="n">
        <v>171.15</v>
      </c>
      <c r="F78" t="inlineStr">
        <is>
          <t>https://online.customs.gov.cn/</t>
        </is>
      </c>
      <c r="G78" t="inlineStr">
        <is>
          <t>Wind 数据终端，2026-08-01 采集；分国别为吨换算万吨</t>
        </is>
      </c>
    </row>
    <row r="79">
      <c r="A79" s="68" t="n">
        <v>45536</v>
      </c>
      <c r="B79" t="inlineStr">
        <is>
          <t>阿根廷</t>
        </is>
      </c>
      <c r="C79" t="n">
        <v>61.27</v>
      </c>
      <c r="F79" t="inlineStr">
        <is>
          <t>https://online.customs.gov.cn/</t>
        </is>
      </c>
      <c r="G79" t="inlineStr">
        <is>
          <t>Wind 数据终端，2026-08-01 采集；分国别为吨换算万吨</t>
        </is>
      </c>
    </row>
    <row r="80">
      <c r="A80" s="68" t="n">
        <v>45536</v>
      </c>
      <c r="B80" t="inlineStr">
        <is>
          <t>其他(含未列明)</t>
        </is>
      </c>
      <c r="C80" t="n">
        <v>60.11</v>
      </c>
      <c r="F80" t="inlineStr">
        <is>
          <t>https://online.customs.gov.cn/</t>
        </is>
      </c>
      <c r="G80" t="inlineStr">
        <is>
          <t>Wind 数据终端，2026-08-01 采集；分国别为吨换算万吨</t>
        </is>
      </c>
    </row>
    <row r="81">
      <c r="A81" s="68" t="n">
        <v>45505</v>
      </c>
      <c r="B81" t="inlineStr">
        <is>
          <t>巴西</t>
        </is>
      </c>
      <c r="C81" t="n">
        <v>1023.78</v>
      </c>
      <c r="F81" t="inlineStr">
        <is>
          <t>https://online.customs.gov.cn/</t>
        </is>
      </c>
      <c r="G81" t="inlineStr">
        <is>
          <t>Wind 数据终端，2026-08-01 采集；分国别为吨换算万吨</t>
        </is>
      </c>
    </row>
    <row r="82">
      <c r="A82" s="68" t="n">
        <v>45505</v>
      </c>
      <c r="B82" t="inlineStr">
        <is>
          <t>美国</t>
        </is>
      </c>
      <c r="C82" t="n">
        <v>20.24</v>
      </c>
      <c r="F82" t="inlineStr">
        <is>
          <t>https://online.customs.gov.cn/</t>
        </is>
      </c>
      <c r="G82" t="inlineStr">
        <is>
          <t>Wind 数据终端，2026-08-01 采集；分国别为吨换算万吨</t>
        </is>
      </c>
    </row>
    <row r="83">
      <c r="A83" s="68" t="n">
        <v>45505</v>
      </c>
      <c r="B83" t="inlineStr">
        <is>
          <t>阿根廷</t>
        </is>
      </c>
      <c r="C83" t="n">
        <v>129.11</v>
      </c>
      <c r="F83" t="inlineStr">
        <is>
          <t>https://online.customs.gov.cn/</t>
        </is>
      </c>
      <c r="G83" t="inlineStr">
        <is>
          <t>Wind 数据终端，2026-08-01 采集；分国别为吨换算万吨</t>
        </is>
      </c>
    </row>
    <row r="84">
      <c r="A84" s="68" t="n">
        <v>45505</v>
      </c>
      <c r="B84" t="inlineStr">
        <is>
          <t>其他(含未列明)</t>
        </is>
      </c>
      <c r="C84" t="n">
        <v>40.87</v>
      </c>
      <c r="F84" t="inlineStr">
        <is>
          <t>https://online.customs.gov.cn/</t>
        </is>
      </c>
      <c r="G84" t="inlineStr">
        <is>
          <t>Wind 数据终端，2026-08-01 采集；分国别为吨换算万吨</t>
        </is>
      </c>
    </row>
    <row r="85">
      <c r="A85" s="68" t="n">
        <v>45474</v>
      </c>
      <c r="B85" t="inlineStr">
        <is>
          <t>巴西</t>
        </is>
      </c>
      <c r="C85" t="n">
        <v>912.34</v>
      </c>
      <c r="F85" t="inlineStr">
        <is>
          <t>https://online.customs.gov.cn/</t>
        </is>
      </c>
      <c r="G85" t="inlineStr">
        <is>
          <t>Wind 数据终端，2026-08-01 采集；分国别为吨换算万吨</t>
        </is>
      </c>
    </row>
    <row r="86">
      <c r="A86" s="68" t="n">
        <v>45474</v>
      </c>
      <c r="B86" t="inlineStr">
        <is>
          <t>美国</t>
        </is>
      </c>
      <c r="C86" t="n">
        <v>47.54</v>
      </c>
      <c r="F86" t="inlineStr">
        <is>
          <t>https://online.customs.gov.cn/</t>
        </is>
      </c>
      <c r="G86" t="inlineStr">
        <is>
          <t>Wind 数据终端，2026-08-01 采集；分国别为吨换算万吨</t>
        </is>
      </c>
    </row>
    <row r="87">
      <c r="A87" s="68" t="n">
        <v>45474</v>
      </c>
      <c r="B87" t="inlineStr">
        <is>
          <t>阿根廷</t>
        </is>
      </c>
      <c r="C87" t="n">
        <v>11.62</v>
      </c>
      <c r="F87" t="inlineStr">
        <is>
          <t>https://online.customs.gov.cn/</t>
        </is>
      </c>
      <c r="G87" t="inlineStr">
        <is>
          <t>Wind 数据终端，2026-08-01 采集；分国别为吨换算万吨</t>
        </is>
      </c>
    </row>
    <row r="88">
      <c r="A88" s="68" t="n">
        <v>45474</v>
      </c>
      <c r="B88" t="inlineStr">
        <is>
          <t>其他(含未列明)</t>
        </is>
      </c>
      <c r="C88" t="n">
        <v>13.5</v>
      </c>
      <c r="F88" t="inlineStr">
        <is>
          <t>https://online.customs.gov.cn/</t>
        </is>
      </c>
      <c r="G88" t="inlineStr">
        <is>
          <t>Wind 数据终端，2026-08-01 采集；分国别为吨换算万吨</t>
        </is>
      </c>
    </row>
    <row r="89">
      <c r="A89" s="68" t="n">
        <v>45444</v>
      </c>
      <c r="B89" t="inlineStr">
        <is>
          <t>巴西</t>
        </is>
      </c>
      <c r="C89" t="n">
        <v>971.95</v>
      </c>
      <c r="F89" t="inlineStr">
        <is>
          <t>https://online.customs.gov.cn/</t>
        </is>
      </c>
      <c r="G89" t="inlineStr">
        <is>
          <t>Wind 数据终端，2026-08-01 采集；分国别为吨换算万吨</t>
        </is>
      </c>
    </row>
    <row r="90">
      <c r="A90" s="68" t="n">
        <v>45444</v>
      </c>
      <c r="B90" t="inlineStr">
        <is>
          <t>美国</t>
        </is>
      </c>
      <c r="C90" t="n">
        <v>130.92</v>
      </c>
      <c r="F90" t="inlineStr">
        <is>
          <t>https://online.customs.gov.cn/</t>
        </is>
      </c>
      <c r="G90" t="inlineStr">
        <is>
          <t>Wind 数据终端，2026-08-01 采集；分国别为吨换算万吨</t>
        </is>
      </c>
    </row>
    <row r="91">
      <c r="A91" s="68" t="n">
        <v>45444</v>
      </c>
      <c r="B91" t="inlineStr">
        <is>
          <t>其他(含未列明)</t>
        </is>
      </c>
      <c r="C91" t="n">
        <v>8.130000000000001</v>
      </c>
      <c r="F91" t="inlineStr">
        <is>
          <t>https://online.customs.gov.cn/</t>
        </is>
      </c>
      <c r="G91" t="inlineStr">
        <is>
          <t>Wind 数据终端，2026-08-01 采集；分国别为吨换算万吨</t>
        </is>
      </c>
    </row>
    <row r="92">
      <c r="A92" s="68" t="n">
        <v>45413</v>
      </c>
      <c r="B92" t="inlineStr">
        <is>
          <t>巴西</t>
        </is>
      </c>
      <c r="C92" t="n">
        <v>881.21</v>
      </c>
      <c r="F92" t="inlineStr">
        <is>
          <t>https://online.customs.gov.cn/</t>
        </is>
      </c>
      <c r="G92" t="inlineStr">
        <is>
          <t>Wind 数据终端，2026-08-01 采集；分国别为吨换算万吨</t>
        </is>
      </c>
    </row>
    <row r="93">
      <c r="A93" s="68" t="n">
        <v>45413</v>
      </c>
      <c r="B93" t="inlineStr">
        <is>
          <t>美国</t>
        </is>
      </c>
      <c r="C93" t="n">
        <v>126.56</v>
      </c>
      <c r="F93" t="inlineStr">
        <is>
          <t>https://online.customs.gov.cn/</t>
        </is>
      </c>
      <c r="G93" t="inlineStr">
        <is>
          <t>Wind 数据终端，2026-08-01 采集；分国别为吨换算万吨</t>
        </is>
      </c>
    </row>
    <row r="94">
      <c r="A94" s="68" t="n">
        <v>45413</v>
      </c>
      <c r="B94" t="inlineStr">
        <is>
          <t>其他(含未列明)</t>
        </is>
      </c>
      <c r="C94" t="n">
        <v>14.23</v>
      </c>
      <c r="F94" t="inlineStr">
        <is>
          <t>https://online.customs.gov.cn/</t>
        </is>
      </c>
      <c r="G94" t="inlineStr">
        <is>
          <t>Wind 数据终端，2026-08-01 采集；分国别为吨换算万吨</t>
        </is>
      </c>
    </row>
    <row r="95">
      <c r="A95" s="68" t="n">
        <v>45383</v>
      </c>
      <c r="B95" t="inlineStr">
        <is>
          <t>巴西</t>
        </is>
      </c>
      <c r="C95" t="n">
        <v>591.46</v>
      </c>
      <c r="F95" t="inlineStr">
        <is>
          <t>https://online.customs.gov.cn/</t>
        </is>
      </c>
      <c r="G95" t="inlineStr">
        <is>
          <t>Wind 数据终端，2026-08-01 采集；分国别为吨换算万吨</t>
        </is>
      </c>
    </row>
    <row r="96">
      <c r="A96" s="68" t="n">
        <v>45383</v>
      </c>
      <c r="B96" t="inlineStr">
        <is>
          <t>美国</t>
        </is>
      </c>
      <c r="C96" t="n">
        <v>244.57</v>
      </c>
      <c r="F96" t="inlineStr">
        <is>
          <t>https://online.customs.gov.cn/</t>
        </is>
      </c>
      <c r="G96" t="inlineStr">
        <is>
          <t>Wind 数据终端，2026-08-01 采集；分国别为吨换算万吨</t>
        </is>
      </c>
    </row>
    <row r="97">
      <c r="A97" s="68" t="n">
        <v>45383</v>
      </c>
      <c r="B97" t="inlineStr">
        <is>
          <t>其他(含未列明)</t>
        </is>
      </c>
      <c r="C97" t="n">
        <v>20.97</v>
      </c>
      <c r="F97" t="inlineStr">
        <is>
          <t>https://online.customs.gov.cn/</t>
        </is>
      </c>
      <c r="G97" t="inlineStr">
        <is>
          <t>Wind 数据终端，2026-08-01 采集；分国别为吨换算万吨</t>
        </is>
      </c>
    </row>
    <row r="98">
      <c r="A98" s="68" t="n">
        <v>45352</v>
      </c>
      <c r="B98" t="inlineStr">
        <is>
          <t>巴西</t>
        </is>
      </c>
      <c r="C98" t="n">
        <v>302.24</v>
      </c>
      <c r="F98" t="inlineStr">
        <is>
          <t>https://online.customs.gov.cn/</t>
        </is>
      </c>
      <c r="G98" t="inlineStr">
        <is>
          <t>Wind 数据终端，2026-08-01 采集；分国别为吨换算万吨</t>
        </is>
      </c>
    </row>
    <row r="99">
      <c r="A99" s="68" t="n">
        <v>45352</v>
      </c>
      <c r="B99" t="inlineStr">
        <is>
          <t>美国</t>
        </is>
      </c>
      <c r="C99" t="n">
        <v>217.95</v>
      </c>
      <c r="F99" t="inlineStr">
        <is>
          <t>https://online.customs.gov.cn/</t>
        </is>
      </c>
      <c r="G99" t="inlineStr">
        <is>
          <t>Wind 数据终端，2026-08-01 采集；分国别为吨换算万吨</t>
        </is>
      </c>
    </row>
    <row r="100">
      <c r="A100" s="68" t="n">
        <v>45352</v>
      </c>
      <c r="B100" t="inlineStr">
        <is>
          <t>其他(含未列明)</t>
        </is>
      </c>
      <c r="C100" t="n">
        <v>33.81</v>
      </c>
      <c r="F100" t="inlineStr">
        <is>
          <t>https://online.customs.gov.cn/</t>
        </is>
      </c>
      <c r="G100" t="inlineStr">
        <is>
          <t>Wind 数据终端，2026-08-01 采集；分国别为吨换算万吨</t>
        </is>
      </c>
    </row>
    <row r="101">
      <c r="A101" s="68" t="n">
        <v>45323</v>
      </c>
      <c r="B101" t="inlineStr">
        <is>
          <t>巴西</t>
        </is>
      </c>
      <c r="C101" t="n">
        <v>288.88</v>
      </c>
      <c r="F101" t="inlineStr">
        <is>
          <t>https://online.customs.gov.cn/</t>
        </is>
      </c>
      <c r="G101" t="inlineStr">
        <is>
          <t>Wind 数据终端，2026-08-01 采集；分国别为吨换算万吨</t>
        </is>
      </c>
    </row>
    <row r="102">
      <c r="A102" s="68" t="n">
        <v>45323</v>
      </c>
      <c r="B102" t="inlineStr">
        <is>
          <t>美国</t>
        </is>
      </c>
      <c r="C102" t="n">
        <v>163.11</v>
      </c>
      <c r="F102" t="inlineStr">
        <is>
          <t>https://online.customs.gov.cn/</t>
        </is>
      </c>
      <c r="G102" t="inlineStr">
        <is>
          <t>Wind 数据终端，2026-08-01 采集；分国别为吨换算万吨</t>
        </is>
      </c>
    </row>
    <row r="103">
      <c r="A103" s="68" t="n">
        <v>45323</v>
      </c>
      <c r="B103" t="inlineStr">
        <is>
          <t>阿根廷</t>
        </is>
      </c>
      <c r="C103" t="n">
        <v>5.3</v>
      </c>
      <c r="F103" t="inlineStr">
        <is>
          <t>https://online.customs.gov.cn/</t>
        </is>
      </c>
      <c r="G103" t="inlineStr">
        <is>
          <t>Wind 数据终端，2026-08-01 采集；分国别为吨换算万吨</t>
        </is>
      </c>
    </row>
    <row r="104">
      <c r="A104" s="68" t="n">
        <v>45323</v>
      </c>
      <c r="B104" t="inlineStr">
        <is>
          <t>其他(含未列明)</t>
        </is>
      </c>
      <c r="C104" t="n">
        <v>54.71</v>
      </c>
      <c r="F104" t="inlineStr">
        <is>
          <t>https://online.customs.gov.cn/</t>
        </is>
      </c>
      <c r="G104" t="inlineStr">
        <is>
          <t>Wind 数据终端，2026-08-01 采集；分国别为吨换算万吨</t>
        </is>
      </c>
    </row>
    <row r="105">
      <c r="A105" s="68" t="n">
        <v>45292</v>
      </c>
      <c r="B105" t="inlineStr">
        <is>
          <t>巴西</t>
        </is>
      </c>
      <c r="C105" t="n">
        <v>407.47</v>
      </c>
      <c r="F105" t="inlineStr">
        <is>
          <t>https://online.customs.gov.cn/</t>
        </is>
      </c>
      <c r="G105" t="inlineStr">
        <is>
          <t>Wind 数据终端，2026-08-01 采集；分国别为吨换算万吨</t>
        </is>
      </c>
    </row>
    <row r="106">
      <c r="A106" s="68" t="n">
        <v>45292</v>
      </c>
      <c r="B106" t="inlineStr">
        <is>
          <t>美国</t>
        </is>
      </c>
      <c r="C106" t="n">
        <v>332.6</v>
      </c>
      <c r="F106" t="inlineStr">
        <is>
          <t>https://online.customs.gov.cn/</t>
        </is>
      </c>
      <c r="G106" t="inlineStr">
        <is>
          <t>Wind 数据终端，2026-08-01 采集；分国别为吨换算万吨</t>
        </is>
      </c>
    </row>
    <row r="107">
      <c r="A107" s="68" t="n">
        <v>45292</v>
      </c>
      <c r="B107" t="inlineStr">
        <is>
          <t>阿根廷</t>
        </is>
      </c>
      <c r="C107" t="n">
        <v>15.95</v>
      </c>
      <c r="F107" t="inlineStr">
        <is>
          <t>https://online.customs.gov.cn/</t>
        </is>
      </c>
      <c r="G107" t="inlineStr">
        <is>
          <t>Wind 数据终端，2026-08-01 采集；分国别为吨换算万吨</t>
        </is>
      </c>
    </row>
    <row r="108">
      <c r="A108" s="68" t="n">
        <v>45292</v>
      </c>
      <c r="B108" t="inlineStr">
        <is>
          <t>其他(含未列明)</t>
        </is>
      </c>
      <c r="C108" t="n">
        <v>35.98</v>
      </c>
      <c r="F108" t="inlineStr">
        <is>
          <t>https://online.customs.gov.cn/</t>
        </is>
      </c>
      <c r="G108" t="inlineStr">
        <is>
          <t>Wind 数据终端，2026-08-01 采集；分国别为吨换算万吨</t>
        </is>
      </c>
    </row>
    <row r="109">
      <c r="A109" s="68" t="n">
        <v>45261</v>
      </c>
      <c r="B109" t="inlineStr">
        <is>
          <t>巴西</t>
        </is>
      </c>
      <c r="C109" t="n">
        <v>497.98</v>
      </c>
      <c r="F109" t="inlineStr">
        <is>
          <t>https://online.customs.gov.cn/</t>
        </is>
      </c>
      <c r="G109" t="inlineStr">
        <is>
          <t>Wind 数据终端，2026-08-01 采集；分国别为吨换算万吨</t>
        </is>
      </c>
    </row>
    <row r="110">
      <c r="A110" s="68" t="n">
        <v>45261</v>
      </c>
      <c r="B110" t="inlineStr">
        <is>
          <t>美国</t>
        </is>
      </c>
      <c r="C110" t="n">
        <v>384.9</v>
      </c>
      <c r="F110" t="inlineStr">
        <is>
          <t>https://online.customs.gov.cn/</t>
        </is>
      </c>
      <c r="G110" t="inlineStr">
        <is>
          <t>Wind 数据终端，2026-08-01 采集；分国别为吨换算万吨</t>
        </is>
      </c>
    </row>
    <row r="111">
      <c r="A111" s="68" t="n">
        <v>45261</v>
      </c>
      <c r="B111" t="inlineStr">
        <is>
          <t>阿根廷</t>
        </is>
      </c>
      <c r="C111" t="n">
        <v>38.98</v>
      </c>
      <c r="F111" t="inlineStr">
        <is>
          <t>https://online.customs.gov.cn/</t>
        </is>
      </c>
      <c r="G111" t="inlineStr">
        <is>
          <t>Wind 数据终端，2026-08-01 采集；分国别为吨换算万吨</t>
        </is>
      </c>
    </row>
    <row r="112">
      <c r="A112" s="68" t="n">
        <v>45261</v>
      </c>
      <c r="B112" t="inlineStr">
        <is>
          <t>其他(含未列明)</t>
        </is>
      </c>
      <c r="C112" t="n">
        <v>60.14</v>
      </c>
      <c r="F112" t="inlineStr">
        <is>
          <t>https://online.customs.gov.cn/</t>
        </is>
      </c>
      <c r="G112" t="inlineStr">
        <is>
          <t>Wind 数据终端，2026-08-01 采集；分国别为吨换算万吨</t>
        </is>
      </c>
    </row>
    <row r="113">
      <c r="A113" s="68" t="n">
        <v>45231</v>
      </c>
      <c r="B113" t="inlineStr">
        <is>
          <t>巴西</t>
        </is>
      </c>
      <c r="C113" t="n">
        <v>528.92</v>
      </c>
      <c r="F113" t="inlineStr">
        <is>
          <t>https://online.customs.gov.cn/</t>
        </is>
      </c>
      <c r="G113" t="inlineStr">
        <is>
          <t>Wind 数据终端，2026-08-01 采集；分国别为吨换算万吨</t>
        </is>
      </c>
    </row>
    <row r="114">
      <c r="A114" s="68" t="n">
        <v>45231</v>
      </c>
      <c r="B114" t="inlineStr">
        <is>
          <t>美国</t>
        </is>
      </c>
      <c r="C114" t="n">
        <v>229.48</v>
      </c>
      <c r="F114" t="inlineStr">
        <is>
          <t>https://online.customs.gov.cn/</t>
        </is>
      </c>
      <c r="G114" t="inlineStr">
        <is>
          <t>Wind 数据终端，2026-08-01 采集；分国别为吨换算万吨</t>
        </is>
      </c>
    </row>
    <row r="115">
      <c r="A115" s="68" t="n">
        <v>45231</v>
      </c>
      <c r="B115" t="inlineStr">
        <is>
          <t>阿根廷</t>
        </is>
      </c>
      <c r="C115" t="n">
        <v>5.43</v>
      </c>
      <c r="F115" t="inlineStr">
        <is>
          <t>https://online.customs.gov.cn/</t>
        </is>
      </c>
      <c r="G115" t="inlineStr">
        <is>
          <t>Wind 数据终端，2026-08-01 采集；分国别为吨换算万吨</t>
        </is>
      </c>
    </row>
    <row r="116">
      <c r="A116" s="68" t="n">
        <v>45231</v>
      </c>
      <c r="B116" t="inlineStr">
        <is>
          <t>其他(含未列明)</t>
        </is>
      </c>
      <c r="C116" t="n">
        <v>28.17</v>
      </c>
      <c r="F116" t="inlineStr">
        <is>
          <t>https://online.customs.gov.cn/</t>
        </is>
      </c>
      <c r="G116" t="inlineStr">
        <is>
          <t>Wind 数据终端，2026-08-01 采集；分国别为吨换算万吨</t>
        </is>
      </c>
    </row>
    <row r="117">
      <c r="A117" s="68" t="n">
        <v>45200</v>
      </c>
      <c r="B117" t="inlineStr">
        <is>
          <t>巴西</t>
        </is>
      </c>
      <c r="C117" t="n">
        <v>481.41</v>
      </c>
      <c r="F117" t="inlineStr">
        <is>
          <t>https://online.customs.gov.cn/</t>
        </is>
      </c>
      <c r="G117" t="inlineStr">
        <is>
          <t>Wind 数据终端，2026-08-01 采集；分国别为吨换算万吨</t>
        </is>
      </c>
    </row>
    <row r="118">
      <c r="A118" s="68" t="n">
        <v>45200</v>
      </c>
      <c r="B118" t="inlineStr">
        <is>
          <t>美国</t>
        </is>
      </c>
      <c r="C118" t="n">
        <v>22.83</v>
      </c>
      <c r="F118" t="inlineStr">
        <is>
          <t>https://online.customs.gov.cn/</t>
        </is>
      </c>
      <c r="G118" t="inlineStr">
        <is>
          <t>Wind 数据终端，2026-08-01 采集；分国别为吨换算万吨</t>
        </is>
      </c>
    </row>
    <row r="119">
      <c r="A119" s="68" t="n">
        <v>45200</v>
      </c>
      <c r="B119" t="inlineStr">
        <is>
          <t>阿根廷</t>
        </is>
      </c>
      <c r="C119" t="n">
        <v>0.11</v>
      </c>
      <c r="F119" t="inlineStr">
        <is>
          <t>https://online.customs.gov.cn/</t>
        </is>
      </c>
      <c r="G119" t="inlineStr">
        <is>
          <t>Wind 数据终端，2026-08-01 采集；分国别为吨换算万吨</t>
        </is>
      </c>
    </row>
    <row r="120">
      <c r="A120" s="68" t="n">
        <v>45200</v>
      </c>
      <c r="B120" t="inlineStr">
        <is>
          <t>其他(含未列明)</t>
        </is>
      </c>
      <c r="C120" t="n">
        <v>11.65</v>
      </c>
      <c r="F120" t="inlineStr">
        <is>
          <t>https://online.customs.gov.cn/</t>
        </is>
      </c>
      <c r="G120" t="inlineStr">
        <is>
          <t>Wind 数据终端，2026-08-01 采集；分国别为吨换算万吨</t>
        </is>
      </c>
    </row>
    <row r="121">
      <c r="A121" s="68" t="n">
        <v>45170</v>
      </c>
      <c r="B121" t="inlineStr">
        <is>
          <t>巴西</t>
        </is>
      </c>
      <c r="C121" t="n">
        <v>688.04</v>
      </c>
      <c r="F121" t="inlineStr">
        <is>
          <t>https://online.customs.gov.cn/</t>
        </is>
      </c>
      <c r="G121" t="inlineStr">
        <is>
          <t>Wind 数据终端，2026-08-01 采集；分国别为吨换算万吨</t>
        </is>
      </c>
    </row>
    <row r="122">
      <c r="A122" s="68" t="n">
        <v>45170</v>
      </c>
      <c r="B122" t="inlineStr">
        <is>
          <t>美国</t>
        </is>
      </c>
      <c r="C122" t="n">
        <v>13.37</v>
      </c>
      <c r="F122" t="inlineStr">
        <is>
          <t>https://online.customs.gov.cn/</t>
        </is>
      </c>
      <c r="G122" t="inlineStr">
        <is>
          <t>Wind 数据终端，2026-08-01 采集；分国别为吨换算万吨</t>
        </is>
      </c>
    </row>
    <row r="123">
      <c r="A123" s="68" t="n">
        <v>45170</v>
      </c>
      <c r="B123" t="inlineStr">
        <is>
          <t>其他(含未列明)</t>
        </is>
      </c>
      <c r="C123" t="n">
        <v>13.59</v>
      </c>
      <c r="F123" t="inlineStr">
        <is>
          <t>https://online.customs.gov.cn/</t>
        </is>
      </c>
      <c r="G123" t="inlineStr">
        <is>
          <t>Wind 数据终端，2026-08-01 采集；分国别为吨换算万吨</t>
        </is>
      </c>
    </row>
    <row r="124">
      <c r="A124" s="68" t="n">
        <v>45139</v>
      </c>
      <c r="B124" t="inlineStr">
        <is>
          <t>巴西</t>
        </is>
      </c>
      <c r="C124" t="n">
        <v>908.71</v>
      </c>
      <c r="F124" t="inlineStr">
        <is>
          <t>https://online.customs.gov.cn/</t>
        </is>
      </c>
      <c r="G124" t="inlineStr">
        <is>
          <t>Wind 数据终端，2026-08-01 采集；分国别为吨换算万吨</t>
        </is>
      </c>
    </row>
    <row r="125">
      <c r="A125" s="68" t="n">
        <v>45139</v>
      </c>
      <c r="B125" t="inlineStr">
        <is>
          <t>美国</t>
        </is>
      </c>
      <c r="C125" t="n">
        <v>12.01</v>
      </c>
      <c r="F125" t="inlineStr">
        <is>
          <t>https://online.customs.gov.cn/</t>
        </is>
      </c>
      <c r="G125" t="inlineStr">
        <is>
          <t>Wind 数据终端，2026-08-01 采集；分国别为吨换算万吨</t>
        </is>
      </c>
    </row>
    <row r="126">
      <c r="A126" s="68" t="n">
        <v>45139</v>
      </c>
      <c r="B126" t="inlineStr">
        <is>
          <t>阿根廷</t>
        </is>
      </c>
      <c r="C126" t="n">
        <v>0.04</v>
      </c>
      <c r="F126" t="inlineStr">
        <is>
          <t>https://online.customs.gov.cn/</t>
        </is>
      </c>
      <c r="G126" t="inlineStr">
        <is>
          <t>Wind 数据终端，2026-08-01 采集；分国别为吨换算万吨</t>
        </is>
      </c>
    </row>
    <row r="127">
      <c r="A127" s="68" t="n">
        <v>45139</v>
      </c>
      <c r="B127" t="inlineStr">
        <is>
          <t>其他(含未列明)</t>
        </is>
      </c>
      <c r="C127" t="n">
        <v>15.24</v>
      </c>
      <c r="F127" t="inlineStr">
        <is>
          <t>https://online.customs.gov.cn/</t>
        </is>
      </c>
      <c r="G127" t="inlineStr">
        <is>
          <t>Wind 数据终端，2026-08-01 采集；分国别为吨换算万吨</t>
        </is>
      </c>
    </row>
    <row r="128">
      <c r="A128" s="68" t="n">
        <v>45108</v>
      </c>
      <c r="B128" t="inlineStr">
        <is>
          <t>巴西</t>
        </is>
      </c>
      <c r="C128" t="n">
        <v>922.92</v>
      </c>
      <c r="F128" t="inlineStr">
        <is>
          <t>https://online.customs.gov.cn/</t>
        </is>
      </c>
      <c r="G128" t="inlineStr">
        <is>
          <t>Wind 数据终端，2026-08-01 采集；分国别为吨换算万吨</t>
        </is>
      </c>
    </row>
    <row r="129">
      <c r="A129" s="68" t="n">
        <v>45108</v>
      </c>
      <c r="B129" t="inlineStr">
        <is>
          <t>美国</t>
        </is>
      </c>
      <c r="C129" t="n">
        <v>14.22</v>
      </c>
      <c r="F129" t="inlineStr">
        <is>
          <t>https://online.customs.gov.cn/</t>
        </is>
      </c>
      <c r="G129" t="inlineStr">
        <is>
          <t>Wind 数据终端，2026-08-01 采集；分国别为吨换算万吨</t>
        </is>
      </c>
    </row>
    <row r="130">
      <c r="A130" s="68" t="n">
        <v>45108</v>
      </c>
      <c r="B130" t="inlineStr">
        <is>
          <t>阿根廷</t>
        </is>
      </c>
      <c r="C130" t="n">
        <v>11.81</v>
      </c>
      <c r="F130" t="inlineStr">
        <is>
          <t>https://online.customs.gov.cn/</t>
        </is>
      </c>
      <c r="G130" t="inlineStr">
        <is>
          <t>Wind 数据终端，2026-08-01 采集；分国别为吨换算万吨</t>
        </is>
      </c>
    </row>
    <row r="131">
      <c r="A131" s="68" t="n">
        <v>45108</v>
      </c>
      <c r="B131" t="inlineStr">
        <is>
          <t>其他(含未列明)</t>
        </is>
      </c>
      <c r="C131" t="n">
        <v>24.05</v>
      </c>
      <c r="F131" t="inlineStr">
        <is>
          <t>https://online.customs.gov.cn/</t>
        </is>
      </c>
      <c r="G131" t="inlineStr">
        <is>
          <t>Wind 数据终端，2026-08-01 采集；分国别为吨换算万吨</t>
        </is>
      </c>
    </row>
    <row r="132">
      <c r="A132" s="68" t="n">
        <v>45078</v>
      </c>
      <c r="B132" t="inlineStr">
        <is>
          <t>巴西</t>
        </is>
      </c>
      <c r="C132" t="n">
        <v>952.9299999999999</v>
      </c>
      <c r="F132" t="inlineStr">
        <is>
          <t>https://online.customs.gov.cn/</t>
        </is>
      </c>
      <c r="G132" t="inlineStr">
        <is>
          <t>Wind 数据终端，2026-08-01 采集；分国别为吨换算万吨</t>
        </is>
      </c>
    </row>
    <row r="133">
      <c r="A133" s="68" t="n">
        <v>45078</v>
      </c>
      <c r="B133" t="inlineStr">
        <is>
          <t>美国</t>
        </is>
      </c>
      <c r="C133" t="n">
        <v>46.24</v>
      </c>
      <c r="F133" t="inlineStr">
        <is>
          <t>https://online.customs.gov.cn/</t>
        </is>
      </c>
      <c r="G133" t="inlineStr">
        <is>
          <t>Wind 数据终端，2026-08-01 采集；分国别为吨换算万吨</t>
        </is>
      </c>
    </row>
    <row r="134">
      <c r="A134" s="68" t="n">
        <v>45078</v>
      </c>
      <c r="B134" t="inlineStr">
        <is>
          <t>其他(含未列明)</t>
        </is>
      </c>
      <c r="C134" t="n">
        <v>27.83</v>
      </c>
      <c r="F134" t="inlineStr">
        <is>
          <t>https://online.customs.gov.cn/</t>
        </is>
      </c>
      <c r="G134" t="inlineStr">
        <is>
          <t>Wind 数据终端，2026-08-01 采集；分国别为吨换算万吨</t>
        </is>
      </c>
    </row>
    <row r="135">
      <c r="A135" s="68" t="n">
        <v>45047</v>
      </c>
      <c r="B135" t="inlineStr">
        <is>
          <t>巴西</t>
        </is>
      </c>
      <c r="C135" t="n">
        <v>1093.37</v>
      </c>
      <c r="F135" t="inlineStr">
        <is>
          <t>https://online.customs.gov.cn/</t>
        </is>
      </c>
      <c r="G135" t="inlineStr">
        <is>
          <t>Wind 数据终端，2026-08-01 采集；分国别为吨换算万吨</t>
        </is>
      </c>
    </row>
    <row r="136">
      <c r="A136" s="68" t="n">
        <v>45047</v>
      </c>
      <c r="B136" t="inlineStr">
        <is>
          <t>美国</t>
        </is>
      </c>
      <c r="C136" t="n">
        <v>82.73</v>
      </c>
      <c r="F136" t="inlineStr">
        <is>
          <t>https://online.customs.gov.cn/</t>
        </is>
      </c>
      <c r="G136" t="inlineStr">
        <is>
          <t>Wind 数据终端，2026-08-01 采集；分国别为吨换算万吨</t>
        </is>
      </c>
    </row>
    <row r="137">
      <c r="A137" s="68" t="n">
        <v>45047</v>
      </c>
      <c r="B137" t="inlineStr">
        <is>
          <t>其他(含未列明)</t>
        </is>
      </c>
      <c r="C137" t="n">
        <v>25.9</v>
      </c>
      <c r="F137" t="inlineStr">
        <is>
          <t>https://online.customs.gov.cn/</t>
        </is>
      </c>
      <c r="G137" t="inlineStr">
        <is>
          <t>Wind 数据终端，2026-08-01 采集；分国别为吨换算万吨</t>
        </is>
      </c>
    </row>
    <row r="138">
      <c r="A138" s="68" t="n">
        <v>45017</v>
      </c>
      <c r="B138" t="inlineStr">
        <is>
          <t>巴西</t>
        </is>
      </c>
      <c r="C138" t="n">
        <v>529.6</v>
      </c>
      <c r="F138" t="inlineStr">
        <is>
          <t>https://online.customs.gov.cn/</t>
        </is>
      </c>
      <c r="G138" t="inlineStr">
        <is>
          <t>Wind 数据终端，2026-08-01 采集；分国别为吨换算万吨</t>
        </is>
      </c>
    </row>
    <row r="139">
      <c r="A139" s="68" t="n">
        <v>45017</v>
      </c>
      <c r="B139" t="inlineStr">
        <is>
          <t>美国</t>
        </is>
      </c>
      <c r="C139" t="n">
        <v>176.17</v>
      </c>
      <c r="F139" t="inlineStr">
        <is>
          <t>https://online.customs.gov.cn/</t>
        </is>
      </c>
      <c r="G139" t="inlineStr">
        <is>
          <t>Wind 数据终端，2026-08-01 采集；分国别为吨换算万吨</t>
        </is>
      </c>
    </row>
    <row r="140">
      <c r="A140" s="68" t="n">
        <v>45017</v>
      </c>
      <c r="B140" t="inlineStr">
        <is>
          <t>其他(含未列明)</t>
        </is>
      </c>
      <c r="C140" t="n">
        <v>20.23</v>
      </c>
      <c r="F140" t="inlineStr">
        <is>
          <t>https://online.customs.gov.cn/</t>
        </is>
      </c>
      <c r="G140" t="inlineStr">
        <is>
          <t>Wind 数据终端，2026-08-01 采集；分国别为吨换算万吨</t>
        </is>
      </c>
    </row>
    <row r="141">
      <c r="A141" s="68" t="n">
        <v>44986</v>
      </c>
      <c r="B141" t="inlineStr">
        <is>
          <t>巴西</t>
        </is>
      </c>
      <c r="C141" t="n">
        <v>167.13</v>
      </c>
      <c r="F141" t="inlineStr">
        <is>
          <t>https://online.customs.gov.cn/</t>
        </is>
      </c>
      <c r="G141" t="inlineStr">
        <is>
          <t>Wind 数据终端，2026-08-01 采集；分国别为吨换算万吨</t>
        </is>
      </c>
    </row>
    <row r="142">
      <c r="A142" s="68" t="n">
        <v>44986</v>
      </c>
      <c r="B142" t="inlineStr">
        <is>
          <t>美国</t>
        </is>
      </c>
      <c r="C142" t="n">
        <v>451.46</v>
      </c>
      <c r="F142" t="inlineStr">
        <is>
          <t>https://online.customs.gov.cn/</t>
        </is>
      </c>
      <c r="G142" t="inlineStr">
        <is>
          <t>Wind 数据终端，2026-08-01 采集；分国别为吨换算万吨</t>
        </is>
      </c>
    </row>
    <row r="143">
      <c r="A143" s="68" t="n">
        <v>44986</v>
      </c>
      <c r="B143" t="inlineStr">
        <is>
          <t>阿根廷</t>
        </is>
      </c>
      <c r="C143" t="n">
        <v>7.26</v>
      </c>
      <c r="F143" t="inlineStr">
        <is>
          <t>https://online.customs.gov.cn/</t>
        </is>
      </c>
      <c r="G143" t="inlineStr">
        <is>
          <t>Wind 数据终端，2026-08-01 采集；分国别为吨换算万吨</t>
        </is>
      </c>
    </row>
    <row r="144">
      <c r="A144" s="68" t="n">
        <v>44986</v>
      </c>
      <c r="B144" t="inlineStr">
        <is>
          <t>其他(含未列明)</t>
        </is>
      </c>
      <c r="C144" t="n">
        <v>59.15</v>
      </c>
      <c r="F144" t="inlineStr">
        <is>
          <t>https://online.customs.gov.cn/</t>
        </is>
      </c>
      <c r="G144" t="inlineStr">
        <is>
          <t>Wind 数据终端，2026-08-01 采集；分国别为吨换算万吨</t>
        </is>
      </c>
    </row>
    <row r="145">
      <c r="A145" s="68" t="n">
        <v>44958</v>
      </c>
      <c r="B145" t="inlineStr">
        <is>
          <t>巴西</t>
        </is>
      </c>
      <c r="C145" t="n">
        <v>40.87</v>
      </c>
      <c r="F145" t="inlineStr">
        <is>
          <t>https://online.customs.gov.cn/</t>
        </is>
      </c>
      <c r="G145" t="inlineStr">
        <is>
          <t>Wind 数据终端，2026-08-01 采集；分国别为吨换算万吨</t>
        </is>
      </c>
    </row>
    <row r="146">
      <c r="A146" s="68" t="n">
        <v>44958</v>
      </c>
      <c r="B146" t="inlineStr">
        <is>
          <t>美国</t>
        </is>
      </c>
      <c r="C146" t="n">
        <v>546.11</v>
      </c>
      <c r="F146" t="inlineStr">
        <is>
          <t>https://online.customs.gov.cn/</t>
        </is>
      </c>
      <c r="G146" t="inlineStr">
        <is>
          <t>Wind 数据终端，2026-08-01 采集；分国别为吨换算万吨</t>
        </is>
      </c>
    </row>
    <row r="147">
      <c r="A147" s="68" t="n">
        <v>44958</v>
      </c>
      <c r="B147" t="inlineStr">
        <is>
          <t>阿根廷</t>
        </is>
      </c>
      <c r="C147" t="n">
        <v>5.98</v>
      </c>
      <c r="F147" t="inlineStr">
        <is>
          <t>https://online.customs.gov.cn/</t>
        </is>
      </c>
      <c r="G147" t="inlineStr">
        <is>
          <t>Wind 数据终端，2026-08-01 采集；分国别为吨换算万吨</t>
        </is>
      </c>
    </row>
    <row r="148">
      <c r="A148" s="68" t="n">
        <v>44958</v>
      </c>
      <c r="B148" t="inlineStr">
        <is>
          <t>其他(含未列明)</t>
        </is>
      </c>
      <c r="C148" t="n">
        <v>111.04</v>
      </c>
      <c r="F148" t="inlineStr">
        <is>
          <t>https://online.customs.gov.cn/</t>
        </is>
      </c>
      <c r="G148" t="inlineStr">
        <is>
          <t>Wind 数据终端，2026-08-01 采集；分国别为吨换算万吨</t>
        </is>
      </c>
    </row>
    <row r="149">
      <c r="A149" s="68" t="n">
        <v>44927</v>
      </c>
      <c r="B149" t="inlineStr">
        <is>
          <t>巴西</t>
        </is>
      </c>
      <c r="C149" t="n">
        <v>183.15</v>
      </c>
      <c r="F149" t="inlineStr">
        <is>
          <t>https://online.customs.gov.cn/</t>
        </is>
      </c>
      <c r="G149" t="inlineStr">
        <is>
          <t>Wind 数据终端，2026-08-01 采集；分国别为吨换算万吨</t>
        </is>
      </c>
    </row>
    <row r="150">
      <c r="A150" s="68" t="n">
        <v>44927</v>
      </c>
      <c r="B150" t="inlineStr">
        <is>
          <t>美国</t>
        </is>
      </c>
      <c r="C150" t="n">
        <v>437.89</v>
      </c>
      <c r="F150" t="inlineStr">
        <is>
          <t>https://online.customs.gov.cn/</t>
        </is>
      </c>
      <c r="G150" t="inlineStr">
        <is>
          <t>Wind 数据终端，2026-08-01 采集；分国别为吨换算万吨</t>
        </is>
      </c>
    </row>
    <row r="151">
      <c r="A151" s="68" t="n">
        <v>44927</v>
      </c>
      <c r="B151" t="inlineStr">
        <is>
          <t>阿根廷</t>
        </is>
      </c>
      <c r="C151" t="n">
        <v>129.66</v>
      </c>
      <c r="F151" t="inlineStr">
        <is>
          <t>https://online.customs.gov.cn/</t>
        </is>
      </c>
      <c r="G151" t="inlineStr">
        <is>
          <t>Wind 数据终端，2026-08-01 采集；分国别为吨换算万吨</t>
        </is>
      </c>
    </row>
    <row r="152">
      <c r="A152" s="68" t="n">
        <v>44927</v>
      </c>
      <c r="B152" t="inlineStr">
        <is>
          <t>其他(含未列明)</t>
        </is>
      </c>
      <c r="C152" t="n">
        <v>162.3</v>
      </c>
      <c r="F152" t="inlineStr">
        <is>
          <t>https://online.customs.gov.cn/</t>
        </is>
      </c>
      <c r="G152" t="inlineStr">
        <is>
          <t>Wind 数据终端，2026-08-01 采集；分国别为吨换算万吨</t>
        </is>
      </c>
    </row>
    <row r="153">
      <c r="A153" s="68" t="n">
        <v>44896</v>
      </c>
      <c r="B153" t="inlineStr">
        <is>
          <t>巴西</t>
        </is>
      </c>
      <c r="C153" t="n">
        <v>256.42</v>
      </c>
      <c r="F153" t="inlineStr">
        <is>
          <t>https://online.customs.gov.cn/</t>
        </is>
      </c>
      <c r="G153" t="inlineStr">
        <is>
          <t>Wind 数据终端，2026-08-01 采集；分国别为吨换算万吨</t>
        </is>
      </c>
    </row>
    <row r="154">
      <c r="A154" s="68" t="n">
        <v>44896</v>
      </c>
      <c r="B154" t="inlineStr">
        <is>
          <t>美国</t>
        </is>
      </c>
      <c r="C154" t="n">
        <v>601.46</v>
      </c>
      <c r="F154" t="inlineStr">
        <is>
          <t>https://online.customs.gov.cn/</t>
        </is>
      </c>
      <c r="G154" t="inlineStr">
        <is>
          <t>Wind 数据终端，2026-08-01 采集；分国别为吨换算万吨</t>
        </is>
      </c>
    </row>
    <row r="155">
      <c r="A155" s="68" t="n">
        <v>44896</v>
      </c>
      <c r="B155" t="inlineStr">
        <is>
          <t>阿根廷</t>
        </is>
      </c>
      <c r="C155" t="n">
        <v>145.93</v>
      </c>
      <c r="F155" t="inlineStr">
        <is>
          <t>https://online.customs.gov.cn/</t>
        </is>
      </c>
      <c r="G155" t="inlineStr">
        <is>
          <t>Wind 数据终端，2026-08-01 采集；分国别为吨换算万吨</t>
        </is>
      </c>
    </row>
    <row r="156">
      <c r="A156" s="68" t="n">
        <v>44896</v>
      </c>
      <c r="B156" t="inlineStr">
        <is>
          <t>其他(含未列明)</t>
        </is>
      </c>
      <c r="C156" t="n">
        <v>51.19</v>
      </c>
      <c r="F156" t="inlineStr">
        <is>
          <t>https://online.customs.gov.cn/</t>
        </is>
      </c>
      <c r="G156" t="inlineStr">
        <is>
          <t>Wind 数据终端，2026-08-01 采集；分国别为吨换算万吨</t>
        </is>
      </c>
    </row>
    <row r="157">
      <c r="A157" s="68" t="n">
        <v>44866</v>
      </c>
      <c r="B157" t="inlineStr">
        <is>
          <t>巴西</t>
        </is>
      </c>
      <c r="C157" t="n">
        <v>253.65</v>
      </c>
      <c r="F157" t="inlineStr">
        <is>
          <t>https://online.customs.gov.cn/</t>
        </is>
      </c>
      <c r="G157" t="inlineStr">
        <is>
          <t>Wind 数据终端，2026-08-01 采集；分国别为吨换算万吨</t>
        </is>
      </c>
    </row>
    <row r="158">
      <c r="A158" s="68" t="n">
        <v>44866</v>
      </c>
      <c r="B158" t="inlineStr">
        <is>
          <t>美国</t>
        </is>
      </c>
      <c r="C158" t="n">
        <v>337.92</v>
      </c>
      <c r="F158" t="inlineStr">
        <is>
          <t>https://online.customs.gov.cn/</t>
        </is>
      </c>
      <c r="G158" t="inlineStr">
        <is>
          <t>Wind 数据终端，2026-08-01 采集；分国别为吨换算万吨</t>
        </is>
      </c>
    </row>
    <row r="159">
      <c r="A159" s="68" t="n">
        <v>44866</v>
      </c>
      <c r="B159" t="inlineStr">
        <is>
          <t>阿根廷</t>
        </is>
      </c>
      <c r="C159" t="n">
        <v>115.34</v>
      </c>
      <c r="F159" t="inlineStr">
        <is>
          <t>https://online.customs.gov.cn/</t>
        </is>
      </c>
      <c r="G159" t="inlineStr">
        <is>
          <t>Wind 数据终端，2026-08-01 采集；分国别为吨换算万吨</t>
        </is>
      </c>
    </row>
    <row r="160">
      <c r="A160" s="68" t="n">
        <v>44866</v>
      </c>
      <c r="B160" t="inlineStr">
        <is>
          <t>其他(含未列明)</t>
        </is>
      </c>
      <c r="C160" t="n">
        <v>28.09</v>
      </c>
      <c r="F160" t="inlineStr">
        <is>
          <t>https://online.customs.gov.cn/</t>
        </is>
      </c>
      <c r="G160" t="inlineStr">
        <is>
          <t>Wind 数据终端，2026-08-01 采集；分国别为吨换算万吨</t>
        </is>
      </c>
    </row>
    <row r="161">
      <c r="A161" s="68" t="n">
        <v>44835</v>
      </c>
      <c r="B161" t="inlineStr">
        <is>
          <t>巴西</t>
        </is>
      </c>
      <c r="C161" t="n">
        <v>279.54</v>
      </c>
      <c r="F161" t="inlineStr">
        <is>
          <t>https://online.customs.gov.cn/</t>
        </is>
      </c>
      <c r="G161" t="inlineStr">
        <is>
          <t>Wind 数据终端，2026-08-01 采集；分国别为吨换算万吨</t>
        </is>
      </c>
    </row>
    <row r="162">
      <c r="A162" s="68" t="n">
        <v>44835</v>
      </c>
      <c r="B162" t="inlineStr">
        <is>
          <t>美国</t>
        </is>
      </c>
      <c r="C162" t="n">
        <v>77.29000000000001</v>
      </c>
      <c r="F162" t="inlineStr">
        <is>
          <t>https://online.customs.gov.cn/</t>
        </is>
      </c>
      <c r="G162" t="inlineStr">
        <is>
          <t>Wind 数据终端，2026-08-01 采集；分国别为吨换算万吨</t>
        </is>
      </c>
    </row>
    <row r="163">
      <c r="A163" s="68" t="n">
        <v>44835</v>
      </c>
      <c r="B163" t="inlineStr">
        <is>
          <t>阿根廷</t>
        </is>
      </c>
      <c r="C163" t="n">
        <v>16.01</v>
      </c>
      <c r="F163" t="inlineStr">
        <is>
          <t>https://online.customs.gov.cn/</t>
        </is>
      </c>
      <c r="G163" t="inlineStr">
        <is>
          <t>Wind 数据终端，2026-08-01 采集；分国别为吨换算万吨</t>
        </is>
      </c>
    </row>
    <row r="164">
      <c r="A164" s="68" t="n">
        <v>44835</v>
      </c>
      <c r="B164" t="inlineStr">
        <is>
          <t>其他(含未列明)</t>
        </is>
      </c>
      <c r="C164" t="n">
        <v>41.16</v>
      </c>
      <c r="F164" t="inlineStr">
        <is>
          <t>https://online.customs.gov.cn/</t>
        </is>
      </c>
      <c r="G164" t="inlineStr">
        <is>
          <t>Wind 数据终端，2026-08-01 采集；分国别为吨换算万吨</t>
        </is>
      </c>
    </row>
    <row r="165">
      <c r="A165" s="68" t="n">
        <v>44805</v>
      </c>
      <c r="B165" t="inlineStr">
        <is>
          <t>巴西</t>
        </is>
      </c>
      <c r="C165" t="n">
        <v>557.66</v>
      </c>
      <c r="F165" t="inlineStr">
        <is>
          <t>https://online.customs.gov.cn/</t>
        </is>
      </c>
      <c r="G165" t="inlineStr">
        <is>
          <t>Wind 数据终端，2026-08-01 采集；分国别为吨换算万吨</t>
        </is>
      </c>
    </row>
    <row r="166">
      <c r="A166" s="68" t="n">
        <v>44805</v>
      </c>
      <c r="B166" t="inlineStr">
        <is>
          <t>美国</t>
        </is>
      </c>
      <c r="C166" t="n">
        <v>115.33</v>
      </c>
      <c r="F166" t="inlineStr">
        <is>
          <t>https://online.customs.gov.cn/</t>
        </is>
      </c>
      <c r="G166" t="inlineStr">
        <is>
          <t>Wind 数据终端，2026-08-01 采集；分国别为吨换算万吨</t>
        </is>
      </c>
    </row>
    <row r="167">
      <c r="A167" s="68" t="n">
        <v>44805</v>
      </c>
      <c r="B167" t="inlineStr">
        <is>
          <t>阿根廷</t>
        </is>
      </c>
      <c r="C167" t="n">
        <v>41.65</v>
      </c>
      <c r="F167" t="inlineStr">
        <is>
          <t>https://online.customs.gov.cn/</t>
        </is>
      </c>
      <c r="G167" t="inlineStr">
        <is>
          <t>Wind 数据终端，2026-08-01 采集；分国别为吨换算万吨</t>
        </is>
      </c>
    </row>
    <row r="168">
      <c r="A168" s="68" t="n">
        <v>44805</v>
      </c>
      <c r="B168" t="inlineStr">
        <is>
          <t>其他(含未列明)</t>
        </is>
      </c>
      <c r="C168" t="n">
        <v>57.36</v>
      </c>
      <c r="F168" t="inlineStr">
        <is>
          <t>https://online.customs.gov.cn/</t>
        </is>
      </c>
      <c r="G168" t="inlineStr">
        <is>
          <t>Wind 数据终端，2026-08-01 采集；分国别为吨换算万吨</t>
        </is>
      </c>
    </row>
    <row r="169">
      <c r="A169" s="68" t="n">
        <v>44774</v>
      </c>
      <c r="B169" t="inlineStr">
        <is>
          <t>巴西</t>
        </is>
      </c>
      <c r="C169" t="n">
        <v>624.53</v>
      </c>
      <c r="F169" t="inlineStr">
        <is>
          <t>https://online.customs.gov.cn/</t>
        </is>
      </c>
      <c r="G169" t="inlineStr">
        <is>
          <t>Wind 数据终端，2026-08-01 采集；分国别为吨换算万吨</t>
        </is>
      </c>
    </row>
    <row r="170">
      <c r="A170" s="68" t="n">
        <v>44774</v>
      </c>
      <c r="B170" t="inlineStr">
        <is>
          <t>美国</t>
        </is>
      </c>
      <c r="C170" t="n">
        <v>28.8</v>
      </c>
      <c r="F170" t="inlineStr">
        <is>
          <t>https://online.customs.gov.cn/</t>
        </is>
      </c>
      <c r="G170" t="inlineStr">
        <is>
          <t>Wind 数据终端，2026-08-01 采集；分国别为吨换算万吨</t>
        </is>
      </c>
    </row>
    <row r="171">
      <c r="A171" s="68" t="n">
        <v>44774</v>
      </c>
      <c r="B171" t="inlineStr">
        <is>
          <t>阿根廷</t>
        </is>
      </c>
      <c r="C171" t="n">
        <v>19.76</v>
      </c>
      <c r="F171" t="inlineStr">
        <is>
          <t>https://online.customs.gov.cn/</t>
        </is>
      </c>
      <c r="G171" t="inlineStr">
        <is>
          <t>Wind 数据终端，2026-08-01 采集；分国别为吨换算万吨</t>
        </is>
      </c>
    </row>
    <row r="172">
      <c r="A172" s="68" t="n">
        <v>44774</v>
      </c>
      <c r="B172" t="inlineStr">
        <is>
          <t>其他(含未列明)</t>
        </is>
      </c>
      <c r="C172" t="n">
        <v>43.91</v>
      </c>
      <c r="F172" t="inlineStr">
        <is>
          <t>https://online.customs.gov.cn/</t>
        </is>
      </c>
      <c r="G172" t="inlineStr">
        <is>
          <t>Wind 数据终端，2026-08-01 采集；分国别为吨换算万吨</t>
        </is>
      </c>
    </row>
    <row r="173">
      <c r="A173" s="68" t="n">
        <v>44743</v>
      </c>
      <c r="B173" t="inlineStr">
        <is>
          <t>巴西</t>
        </is>
      </c>
      <c r="C173" t="n">
        <v>697.15</v>
      </c>
      <c r="F173" t="inlineStr">
        <is>
          <t>https://online.customs.gov.cn/</t>
        </is>
      </c>
      <c r="G173" t="inlineStr">
        <is>
          <t>Wind 数据终端，2026-08-01 采集；分国别为吨换算万吨</t>
        </is>
      </c>
    </row>
    <row r="174">
      <c r="A174" s="68" t="n">
        <v>44743</v>
      </c>
      <c r="B174" t="inlineStr">
        <is>
          <t>美国</t>
        </is>
      </c>
      <c r="C174" t="n">
        <v>38.16</v>
      </c>
      <c r="F174" t="inlineStr">
        <is>
          <t>https://online.customs.gov.cn/</t>
        </is>
      </c>
      <c r="G174" t="inlineStr">
        <is>
          <t>Wind 数据终端，2026-08-01 采集；分国别为吨换算万吨</t>
        </is>
      </c>
    </row>
    <row r="175">
      <c r="A175" s="68" t="n">
        <v>44743</v>
      </c>
      <c r="B175" t="inlineStr">
        <is>
          <t>阿根廷</t>
        </is>
      </c>
      <c r="C175" t="n">
        <v>13.96</v>
      </c>
      <c r="F175" t="inlineStr">
        <is>
          <t>https://online.customs.gov.cn/</t>
        </is>
      </c>
      <c r="G175" t="inlineStr">
        <is>
          <t>Wind 数据终端，2026-08-01 采集；分国别为吨换算万吨</t>
        </is>
      </c>
    </row>
    <row r="176">
      <c r="A176" s="68" t="n">
        <v>44743</v>
      </c>
      <c r="B176" t="inlineStr">
        <is>
          <t>其他(含未列明)</t>
        </is>
      </c>
      <c r="C176" t="n">
        <v>38.73</v>
      </c>
      <c r="F176" t="inlineStr">
        <is>
          <t>https://online.customs.gov.cn/</t>
        </is>
      </c>
      <c r="G176" t="inlineStr">
        <is>
          <t>Wind 数据终端，2026-08-01 采集；分国别为吨换算万吨</t>
        </is>
      </c>
    </row>
    <row r="177">
      <c r="A177" s="68" t="n">
        <v>44713</v>
      </c>
      <c r="B177" t="inlineStr">
        <is>
          <t>巴西</t>
        </is>
      </c>
      <c r="C177" t="n">
        <v>723.76</v>
      </c>
      <c r="F177" t="inlineStr">
        <is>
          <t>https://online.customs.gov.cn/</t>
        </is>
      </c>
      <c r="G177" t="inlineStr">
        <is>
          <t>Wind 数据终端，2026-08-01 采集；分国别为吨换算万吨</t>
        </is>
      </c>
    </row>
    <row r="178">
      <c r="A178" s="68" t="n">
        <v>44713</v>
      </c>
      <c r="B178" t="inlineStr">
        <is>
          <t>美国</t>
        </is>
      </c>
      <c r="C178" t="n">
        <v>77.3</v>
      </c>
      <c r="F178" t="inlineStr">
        <is>
          <t>https://online.customs.gov.cn/</t>
        </is>
      </c>
      <c r="G178" t="inlineStr">
        <is>
          <t>Wind 数据终端，2026-08-01 采集；分国别为吨换算万吨</t>
        </is>
      </c>
    </row>
    <row r="179">
      <c r="A179" s="68" t="n">
        <v>44713</v>
      </c>
      <c r="B179" t="inlineStr">
        <is>
          <t>其他(含未列明)</t>
        </is>
      </c>
      <c r="C179" t="n">
        <v>23.94</v>
      </c>
      <c r="F179" t="inlineStr">
        <is>
          <t>https://online.customs.gov.cn/</t>
        </is>
      </c>
      <c r="G179" t="inlineStr">
        <is>
          <t>Wind 数据终端，2026-08-01 采集；分国别为吨换算万吨</t>
        </is>
      </c>
    </row>
    <row r="180">
      <c r="A180" s="68" t="n">
        <v>44682</v>
      </c>
      <c r="B180" t="inlineStr">
        <is>
          <t>巴西</t>
        </is>
      </c>
      <c r="C180" t="n">
        <v>779.33</v>
      </c>
      <c r="F180" t="inlineStr">
        <is>
          <t>https://online.customs.gov.cn/</t>
        </is>
      </c>
      <c r="G180" t="inlineStr">
        <is>
          <t>Wind 数据终端，2026-08-01 采集；分国别为吨换算万吨</t>
        </is>
      </c>
    </row>
    <row r="181">
      <c r="A181" s="68" t="n">
        <v>44682</v>
      </c>
      <c r="B181" t="inlineStr">
        <is>
          <t>美国</t>
        </is>
      </c>
      <c r="C181" t="n">
        <v>173.27</v>
      </c>
      <c r="F181" t="inlineStr">
        <is>
          <t>https://online.customs.gov.cn/</t>
        </is>
      </c>
      <c r="G181" t="inlineStr">
        <is>
          <t>Wind 数据终端，2026-08-01 采集；分国别为吨换算万吨</t>
        </is>
      </c>
    </row>
    <row r="182">
      <c r="A182" s="68" t="n">
        <v>44682</v>
      </c>
      <c r="B182" t="inlineStr">
        <is>
          <t>其他(含未列明)</t>
        </is>
      </c>
      <c r="C182" t="n">
        <v>14.4</v>
      </c>
      <c r="F182" t="inlineStr">
        <is>
          <t>https://online.customs.gov.cn/</t>
        </is>
      </c>
      <c r="G182" t="inlineStr">
        <is>
          <t>Wind 数据终端，2026-08-01 采集；分国别为吨换算万吨</t>
        </is>
      </c>
    </row>
    <row r="183">
      <c r="A183" s="68" t="n">
        <v>44652</v>
      </c>
      <c r="B183" t="inlineStr">
        <is>
          <t>巴西</t>
        </is>
      </c>
      <c r="C183" t="n">
        <v>630.16</v>
      </c>
      <c r="F183" t="inlineStr">
        <is>
          <t>https://online.customs.gov.cn/</t>
        </is>
      </c>
      <c r="G183" t="inlineStr">
        <is>
          <t>Wind 数据终端，2026-08-01 采集；分国别为吨换算万吨</t>
        </is>
      </c>
    </row>
    <row r="184">
      <c r="A184" s="68" t="n">
        <v>44652</v>
      </c>
      <c r="B184" t="inlineStr">
        <is>
          <t>美国</t>
        </is>
      </c>
      <c r="C184" t="n">
        <v>163.75</v>
      </c>
      <c r="F184" t="inlineStr">
        <is>
          <t>https://online.customs.gov.cn/</t>
        </is>
      </c>
      <c r="G184" t="inlineStr">
        <is>
          <t>Wind 数据终端，2026-08-01 采集；分国别为吨换算万吨</t>
        </is>
      </c>
    </row>
    <row r="185">
      <c r="A185" s="68" t="n">
        <v>44652</v>
      </c>
      <c r="B185" t="inlineStr">
        <is>
          <t>其他(含未列明)</t>
        </is>
      </c>
      <c r="C185" t="n">
        <v>14.09</v>
      </c>
      <c r="F185" t="inlineStr">
        <is>
          <t>https://online.customs.gov.cn/</t>
        </is>
      </c>
      <c r="G185" t="inlineStr">
        <is>
          <t>Wind 数据终端，2026-08-01 采集；分国别为吨换算万吨</t>
        </is>
      </c>
    </row>
    <row r="186">
      <c r="A186" s="68" t="n">
        <v>44621</v>
      </c>
      <c r="B186" t="inlineStr">
        <is>
          <t>巴西</t>
        </is>
      </c>
      <c r="C186" t="n">
        <v>286.41</v>
      </c>
      <c r="F186" t="inlineStr">
        <is>
          <t>https://online.customs.gov.cn/</t>
        </is>
      </c>
      <c r="G186" t="inlineStr">
        <is>
          <t>Wind 数据终端，2026-08-01 采集；分国别为吨换算万吨</t>
        </is>
      </c>
    </row>
    <row r="187">
      <c r="A187" s="68" t="n">
        <v>44621</v>
      </c>
      <c r="B187" t="inlineStr">
        <is>
          <t>美国</t>
        </is>
      </c>
      <c r="C187" t="n">
        <v>337.34</v>
      </c>
      <c r="F187" t="inlineStr">
        <is>
          <t>https://online.customs.gov.cn/</t>
        </is>
      </c>
      <c r="G187" t="inlineStr">
        <is>
          <t>Wind 数据终端，2026-08-01 采集；分国别为吨换算万吨</t>
        </is>
      </c>
    </row>
    <row r="188">
      <c r="A188" s="68" t="n">
        <v>44621</v>
      </c>
      <c r="B188" t="inlineStr">
        <is>
          <t>其他(含未列明)</t>
        </is>
      </c>
      <c r="C188" t="n">
        <v>11.25</v>
      </c>
      <c r="F188" t="inlineStr">
        <is>
          <t>https://online.customs.gov.cn/</t>
        </is>
      </c>
      <c r="G188" t="inlineStr">
        <is>
          <t>Wind 数据终端，2026-08-01 采集；分国别为吨换算万吨</t>
        </is>
      </c>
    </row>
    <row r="189">
      <c r="A189" s="68" t="n">
        <v>44593</v>
      </c>
      <c r="B189" t="inlineStr">
        <is>
          <t>巴西</t>
        </is>
      </c>
      <c r="C189" t="n">
        <v>129.16</v>
      </c>
      <c r="F189" t="inlineStr">
        <is>
          <t>https://online.customs.gov.cn/</t>
        </is>
      </c>
      <c r="G189" t="inlineStr">
        <is>
          <t>Wind 数据终端，2026-08-01 采集；分国别为吨换算万吨</t>
        </is>
      </c>
    </row>
    <row r="190">
      <c r="A190" s="68" t="n">
        <v>44593</v>
      </c>
      <c r="B190" t="inlineStr">
        <is>
          <t>美国</t>
        </is>
      </c>
      <c r="C190" t="n">
        <v>370.61</v>
      </c>
      <c r="F190" t="inlineStr">
        <is>
          <t>https://online.customs.gov.cn/</t>
        </is>
      </c>
      <c r="G190" t="inlineStr">
        <is>
          <t>Wind 数据终端，2026-08-01 采集；分国别为吨换算万吨</t>
        </is>
      </c>
    </row>
    <row r="191">
      <c r="A191" s="68" t="n">
        <v>44593</v>
      </c>
      <c r="B191" t="inlineStr">
        <is>
          <t>其他(含未列明)</t>
        </is>
      </c>
      <c r="C191" t="n">
        <v>9.23</v>
      </c>
      <c r="F191" t="inlineStr">
        <is>
          <t>https://online.customs.gov.cn/</t>
        </is>
      </c>
      <c r="G191" t="inlineStr">
        <is>
          <t>Wind 数据终端，2026-08-01 采集；分国别为吨换算万吨</t>
        </is>
      </c>
    </row>
    <row r="192">
      <c r="A192" s="68" t="n">
        <v>44562</v>
      </c>
      <c r="B192" t="inlineStr">
        <is>
          <t>巴西</t>
        </is>
      </c>
      <c r="C192" t="n">
        <v>221.52</v>
      </c>
      <c r="F192" t="inlineStr">
        <is>
          <t>https://online.customs.gov.cn/</t>
        </is>
      </c>
      <c r="G192" t="inlineStr">
        <is>
          <t>Wind 数据终端，2026-08-01 采集；分国别为吨换算万吨</t>
        </is>
      </c>
    </row>
    <row r="193">
      <c r="A193" s="68" t="n">
        <v>44562</v>
      </c>
      <c r="B193" t="inlineStr">
        <is>
          <t>美国</t>
        </is>
      </c>
      <c r="C193" t="n">
        <v>631.9400000000001</v>
      </c>
      <c r="F193" t="inlineStr">
        <is>
          <t>https://online.customs.gov.cn/</t>
        </is>
      </c>
      <c r="G193" t="inlineStr">
        <is>
          <t>Wind 数据终端，2026-08-01 采集；分国别为吨换算万吨</t>
        </is>
      </c>
    </row>
    <row r="194">
      <c r="A194" s="68" t="n">
        <v>44562</v>
      </c>
      <c r="B194" t="inlineStr">
        <is>
          <t>阿根廷</t>
        </is>
      </c>
      <c r="C194" t="n">
        <v>12.25</v>
      </c>
      <c r="F194" t="inlineStr">
        <is>
          <t>https://online.customs.gov.cn/</t>
        </is>
      </c>
      <c r="G194" t="inlineStr">
        <is>
          <t>Wind 数据终端，2026-08-01 采集；分国别为吨换算万吨</t>
        </is>
      </c>
    </row>
    <row r="195">
      <c r="A195" s="68" t="n">
        <v>44562</v>
      </c>
      <c r="B195" t="inlineStr">
        <is>
          <t>其他(含未列明)</t>
        </is>
      </c>
      <c r="C195" t="n">
        <v>19.29</v>
      </c>
      <c r="F195" t="inlineStr">
        <is>
          <t>https://online.customs.gov.cn/</t>
        </is>
      </c>
      <c r="G195" t="inlineStr">
        <is>
          <t>Wind 数据终端，2026-08-01 采集；分国别为吨换算万吨</t>
        </is>
      </c>
    </row>
    <row r="196">
      <c r="A196" s="68" t="n">
        <v>44531</v>
      </c>
      <c r="B196" t="inlineStr">
        <is>
          <t>阿根廷</t>
        </is>
      </c>
      <c r="C196" t="n">
        <v>33.81</v>
      </c>
      <c r="F196" t="inlineStr">
        <is>
          <t>https://online.customs.gov.cn/</t>
        </is>
      </c>
      <c r="G196" t="inlineStr">
        <is>
          <t>Wind 数据终端，2026-08-01 采集；分国别为吨换算万吨</t>
        </is>
      </c>
    </row>
    <row r="197">
      <c r="A197" s="68" t="n">
        <v>44531</v>
      </c>
      <c r="B197" t="inlineStr">
        <is>
          <t>其他(含未列明)</t>
        </is>
      </c>
      <c r="C197" t="n">
        <v>853.1900000000001</v>
      </c>
      <c r="F197" t="inlineStr">
        <is>
          <t>https://online.customs.gov.cn/</t>
        </is>
      </c>
      <c r="G197" t="inlineStr">
        <is>
          <t>Wind 数据终端，2026-08-01 采集；分国别为吨换算万吨</t>
        </is>
      </c>
    </row>
    <row r="198">
      <c r="A198" s="68" t="n">
        <v>44501</v>
      </c>
      <c r="B198" t="inlineStr">
        <is>
          <t>阿根廷</t>
        </is>
      </c>
      <c r="C198" t="n">
        <v>97.93000000000001</v>
      </c>
      <c r="F198" t="inlineStr">
        <is>
          <t>https://online.customs.gov.cn/</t>
        </is>
      </c>
      <c r="G198" t="inlineStr">
        <is>
          <t>Wind 数据终端，2026-08-01 采集；分国别为吨换算万吨</t>
        </is>
      </c>
    </row>
    <row r="199">
      <c r="A199" s="68" t="n">
        <v>44501</v>
      </c>
      <c r="B199" t="inlineStr">
        <is>
          <t>其他(含未列明)</t>
        </is>
      </c>
      <c r="C199" t="n">
        <v>759.0700000000001</v>
      </c>
      <c r="F199" t="inlineStr">
        <is>
          <t>https://online.customs.gov.cn/</t>
        </is>
      </c>
      <c r="G199" t="inlineStr">
        <is>
          <t>Wind 数据终端，2026-08-01 采集；分国别为吨换算万吨</t>
        </is>
      </c>
    </row>
    <row r="200">
      <c r="A200" s="68" t="n">
        <v>44470</v>
      </c>
      <c r="B200" t="inlineStr">
        <is>
          <t>阿根廷</t>
        </is>
      </c>
      <c r="C200" t="n">
        <v>92.31999999999999</v>
      </c>
      <c r="F200" t="inlineStr">
        <is>
          <t>https://online.customs.gov.cn/</t>
        </is>
      </c>
      <c r="G200" t="inlineStr">
        <is>
          <t>Wind 数据终端，2026-08-01 采集；分国别为吨换算万吨</t>
        </is>
      </c>
    </row>
    <row r="201">
      <c r="A201" s="68" t="n">
        <v>44470</v>
      </c>
      <c r="B201" t="inlineStr">
        <is>
          <t>其他(含未列明)</t>
        </is>
      </c>
      <c r="C201" t="n">
        <v>418.68</v>
      </c>
      <c r="F201" t="inlineStr">
        <is>
          <t>https://online.customs.gov.cn/</t>
        </is>
      </c>
      <c r="G201" t="inlineStr">
        <is>
          <t>Wind 数据终端，2026-08-01 采集；分国别为吨换算万吨</t>
        </is>
      </c>
    </row>
    <row r="202">
      <c r="A202" s="68" t="n">
        <v>44440</v>
      </c>
      <c r="B202" t="inlineStr">
        <is>
          <t>阿根廷</t>
        </is>
      </c>
      <c r="C202" t="n">
        <v>52.45</v>
      </c>
      <c r="F202" t="inlineStr">
        <is>
          <t>https://online.customs.gov.cn/</t>
        </is>
      </c>
      <c r="G202" t="inlineStr">
        <is>
          <t>Wind 数据终端，2026-08-01 采集；分国别为吨换算万吨</t>
        </is>
      </c>
    </row>
    <row r="203">
      <c r="A203" s="68" t="n">
        <v>44440</v>
      </c>
      <c r="B203" t="inlineStr">
        <is>
          <t>其他(含未列明)</t>
        </is>
      </c>
      <c r="C203" t="n">
        <v>635.55</v>
      </c>
      <c r="F203" t="inlineStr">
        <is>
          <t>https://online.customs.gov.cn/</t>
        </is>
      </c>
      <c r="G203" t="inlineStr">
        <is>
          <t>Wind 数据终端，2026-08-01 采集；分国别为吨换算万吨</t>
        </is>
      </c>
    </row>
    <row r="204">
      <c r="A204" s="68" t="n">
        <v>44409</v>
      </c>
      <c r="B204" t="inlineStr">
        <is>
          <t>阿根廷</t>
        </is>
      </c>
      <c r="C204" t="n">
        <v>13.69</v>
      </c>
      <c r="F204" t="inlineStr">
        <is>
          <t>https://online.customs.gov.cn/</t>
        </is>
      </c>
      <c r="G204" t="inlineStr">
        <is>
          <t>Wind 数据终端，2026-08-01 采集；分国别为吨换算万吨</t>
        </is>
      </c>
    </row>
    <row r="205">
      <c r="A205" s="68" t="n">
        <v>44409</v>
      </c>
      <c r="B205" t="inlineStr">
        <is>
          <t>其他(含未列明)</t>
        </is>
      </c>
      <c r="C205" t="n">
        <v>935.3099999999999</v>
      </c>
      <c r="F205" t="inlineStr">
        <is>
          <t>https://online.customs.gov.cn/</t>
        </is>
      </c>
      <c r="G205" t="inlineStr">
        <is>
          <t>Wind 数据终端，2026-08-01 采集；分国别为吨换算万吨</t>
        </is>
      </c>
    </row>
    <row r="206">
      <c r="A206" s="68" t="n">
        <v>44378</v>
      </c>
      <c r="B206" t="inlineStr">
        <is>
          <t>阿根廷</t>
        </is>
      </c>
      <c r="C206" t="n">
        <v>66.06</v>
      </c>
      <c r="F206" t="inlineStr">
        <is>
          <t>https://online.customs.gov.cn/</t>
        </is>
      </c>
      <c r="G206" t="inlineStr">
        <is>
          <t>Wind 数据终端，2026-08-01 采集；分国别为吨换算万吨</t>
        </is>
      </c>
    </row>
    <row r="207">
      <c r="A207" s="68" t="n">
        <v>44378</v>
      </c>
      <c r="B207" t="inlineStr">
        <is>
          <t>其他(含未列明)</t>
        </is>
      </c>
      <c r="C207" t="n">
        <v>800.9400000000001</v>
      </c>
      <c r="F207" t="inlineStr">
        <is>
          <t>https://online.customs.gov.cn/</t>
        </is>
      </c>
      <c r="G207" t="inlineStr">
        <is>
          <t>Wind 数据终端，2026-08-01 采集；分国别为吨换算万吨</t>
        </is>
      </c>
    </row>
    <row r="208">
      <c r="A208" s="68" t="n">
        <v>44348</v>
      </c>
      <c r="B208" t="inlineStr">
        <is>
          <t>阿根廷</t>
        </is>
      </c>
      <c r="C208" t="n">
        <v>8.279999999999999</v>
      </c>
      <c r="F208" t="inlineStr">
        <is>
          <t>https://online.customs.gov.cn/</t>
        </is>
      </c>
      <c r="G208" t="inlineStr">
        <is>
          <t>Wind 数据终端，2026-08-01 采集；分国别为吨换算万吨</t>
        </is>
      </c>
    </row>
    <row r="209">
      <c r="A209" s="68" t="n">
        <v>44348</v>
      </c>
      <c r="B209" t="inlineStr">
        <is>
          <t>其他(含未列明)</t>
        </is>
      </c>
      <c r="C209" t="n">
        <v>1063.72</v>
      </c>
      <c r="F209" t="inlineStr">
        <is>
          <t>https://online.customs.gov.cn/</t>
        </is>
      </c>
      <c r="G209" t="inlineStr">
        <is>
          <t>Wind 数据终端，2026-08-01 采集；分国别为吨换算万吨</t>
        </is>
      </c>
    </row>
    <row r="210">
      <c r="A210" s="68" t="n">
        <v>44228</v>
      </c>
      <c r="B210" t="inlineStr">
        <is>
          <t>阿根廷</t>
        </is>
      </c>
      <c r="C210" t="n">
        <v>4.52</v>
      </c>
      <c r="F210" t="inlineStr">
        <is>
          <t>https://online.customs.gov.cn/</t>
        </is>
      </c>
      <c r="G210" t="inlineStr">
        <is>
          <t>Wind 数据终端，2026-08-01 采集；分国别为吨换算万吨</t>
        </is>
      </c>
    </row>
    <row r="211">
      <c r="A211" s="68" t="n">
        <v>44228</v>
      </c>
      <c r="B211" t="inlineStr">
        <is>
          <t>其他(含未列明)</t>
        </is>
      </c>
      <c r="C211" t="n">
        <v>551.48</v>
      </c>
      <c r="F211" t="inlineStr">
        <is>
          <t>https://online.customs.gov.cn/</t>
        </is>
      </c>
      <c r="G211" t="inlineStr">
        <is>
          <t>Wind 数据终端，2026-08-01 采集；分国别为吨换算万吨</t>
        </is>
      </c>
    </row>
    <row r="212">
      <c r="A212" s="68" t="n">
        <v>44197</v>
      </c>
      <c r="B212" t="inlineStr">
        <is>
          <t>阿根廷</t>
        </is>
      </c>
      <c r="C212" t="n">
        <v>3.65</v>
      </c>
      <c r="F212" t="inlineStr">
        <is>
          <t>https://online.customs.gov.cn/</t>
        </is>
      </c>
      <c r="G212" t="inlineStr">
        <is>
          <t>Wind 数据终端，2026-08-01 采集；分国别为吨换算万吨</t>
        </is>
      </c>
    </row>
    <row r="213">
      <c r="A213" s="68" t="n">
        <v>44197</v>
      </c>
      <c r="B213" t="inlineStr">
        <is>
          <t>其他(含未列明)</t>
        </is>
      </c>
      <c r="C213" t="n">
        <v>780.35</v>
      </c>
      <c r="F213" t="inlineStr">
        <is>
          <t>https://online.customs.gov.cn/</t>
        </is>
      </c>
      <c r="G213" t="inlineStr">
        <is>
          <t>Wind 数据终端，2026-08-01 采集；分国别为吨换算万吨</t>
        </is>
      </c>
    </row>
    <row r="214">
      <c r="A214" s="68" t="n">
        <v>44166</v>
      </c>
      <c r="B214" t="inlineStr">
        <is>
          <t>阿根廷</t>
        </is>
      </c>
      <c r="C214" t="n">
        <v>13.14</v>
      </c>
      <c r="F214" t="inlineStr">
        <is>
          <t>https://online.customs.gov.cn/</t>
        </is>
      </c>
      <c r="G214" t="inlineStr">
        <is>
          <t>Wind 数据终端，2026-08-01 采集；分国别为吨换算万吨</t>
        </is>
      </c>
    </row>
    <row r="215">
      <c r="A215" s="68" t="n">
        <v>44166</v>
      </c>
      <c r="B215" t="inlineStr">
        <is>
          <t>其他(含未列明)</t>
        </is>
      </c>
      <c r="C215" t="n">
        <v>738.86</v>
      </c>
      <c r="F215" t="inlineStr">
        <is>
          <t>https://online.customs.gov.cn/</t>
        </is>
      </c>
      <c r="G215" t="inlineStr">
        <is>
          <t>Wind 数据终端，2026-08-01 采集；分国别为吨换算万吨</t>
        </is>
      </c>
    </row>
    <row r="216">
      <c r="A216" s="68" t="n">
        <v>44136</v>
      </c>
      <c r="B216" t="inlineStr">
        <is>
          <t>阿根廷</t>
        </is>
      </c>
      <c r="C216" t="n">
        <v>49.7</v>
      </c>
      <c r="F216" t="inlineStr">
        <is>
          <t>https://online.customs.gov.cn/</t>
        </is>
      </c>
      <c r="G216" t="inlineStr">
        <is>
          <t>Wind 数据终端，2026-08-01 采集；分国别为吨换算万吨</t>
        </is>
      </c>
    </row>
    <row r="217">
      <c r="A217" s="68" t="n">
        <v>44136</v>
      </c>
      <c r="B217" t="inlineStr">
        <is>
          <t>其他(含未列明)</t>
        </is>
      </c>
      <c r="C217" t="n">
        <v>909.3</v>
      </c>
      <c r="F217" t="inlineStr">
        <is>
          <t>https://online.customs.gov.cn/</t>
        </is>
      </c>
      <c r="G217" t="inlineStr">
        <is>
          <t>Wind 数据终端，2026-08-01 采集；分国别为吨换算万吨</t>
        </is>
      </c>
    </row>
    <row r="218">
      <c r="A218" s="68" t="n">
        <v>44105</v>
      </c>
      <c r="B218" t="inlineStr">
        <is>
          <t>阿根廷</t>
        </is>
      </c>
      <c r="C218" t="n">
        <v>81.3</v>
      </c>
      <c r="F218" t="inlineStr">
        <is>
          <t>https://online.customs.gov.cn/</t>
        </is>
      </c>
      <c r="G218" t="inlineStr">
        <is>
          <t>Wind 数据终端，2026-08-01 采集；分国别为吨换算万吨</t>
        </is>
      </c>
    </row>
    <row r="219">
      <c r="A219" s="68" t="n">
        <v>44105</v>
      </c>
      <c r="B219" t="inlineStr">
        <is>
          <t>其他(含未列明)</t>
        </is>
      </c>
      <c r="C219" t="n">
        <v>787.7</v>
      </c>
      <c r="F219" t="inlineStr">
        <is>
          <t>https://online.customs.gov.cn/</t>
        </is>
      </c>
      <c r="G219" t="inlineStr">
        <is>
          <t>Wind 数据终端，2026-08-01 采集；分国别为吨换算万吨</t>
        </is>
      </c>
    </row>
    <row r="220">
      <c r="A220" s="68" t="n">
        <v>44075</v>
      </c>
      <c r="B220" t="inlineStr">
        <is>
          <t>阿根廷</t>
        </is>
      </c>
      <c r="C220" t="n">
        <v>100.4</v>
      </c>
      <c r="F220" t="inlineStr">
        <is>
          <t>https://online.customs.gov.cn/</t>
        </is>
      </c>
      <c r="G220" t="inlineStr">
        <is>
          <t>Wind 数据终端，2026-08-01 采集；分国别为吨换算万吨</t>
        </is>
      </c>
    </row>
    <row r="221">
      <c r="A221" s="68" t="n">
        <v>44075</v>
      </c>
      <c r="B221" t="inlineStr">
        <is>
          <t>其他(含未列明)</t>
        </is>
      </c>
      <c r="C221" t="n">
        <v>878.6</v>
      </c>
      <c r="F221" t="inlineStr">
        <is>
          <t>https://online.customs.gov.cn/</t>
        </is>
      </c>
      <c r="G221" t="inlineStr">
        <is>
          <t>Wind 数据终端，2026-08-01 采集；分国别为吨换算万吨</t>
        </is>
      </c>
    </row>
    <row r="222">
      <c r="A222" s="68" t="n">
        <v>44044</v>
      </c>
      <c r="B222" t="inlineStr">
        <is>
          <t>阿根廷</t>
        </is>
      </c>
      <c r="C222" t="n">
        <v>97.75</v>
      </c>
      <c r="F222" t="inlineStr">
        <is>
          <t>https://online.customs.gov.cn/</t>
        </is>
      </c>
      <c r="G222" t="inlineStr">
        <is>
          <t>Wind 数据终端，2026-08-01 采集；分国别为吨换算万吨</t>
        </is>
      </c>
    </row>
    <row r="223">
      <c r="A223" s="68" t="n">
        <v>44044</v>
      </c>
      <c r="B223" t="inlineStr">
        <is>
          <t>其他(含未列明)</t>
        </is>
      </c>
      <c r="C223" t="n">
        <v>862.25</v>
      </c>
      <c r="F223" t="inlineStr">
        <is>
          <t>https://online.customs.gov.cn/</t>
        </is>
      </c>
      <c r="G223" t="inlineStr">
        <is>
          <t>Wind 数据终端，2026-08-01 采集；分国别为吨换算万吨</t>
        </is>
      </c>
    </row>
    <row r="224">
      <c r="A224" s="68" t="n">
        <v>44013</v>
      </c>
      <c r="B224" t="inlineStr">
        <is>
          <t>阿根廷</t>
        </is>
      </c>
      <c r="C224" t="n">
        <v>153.24</v>
      </c>
      <c r="F224" t="inlineStr">
        <is>
          <t>https://online.customs.gov.cn/</t>
        </is>
      </c>
      <c r="G224" t="inlineStr">
        <is>
          <t>Wind 数据终端，2026-08-01 采集；分国别为吨换算万吨</t>
        </is>
      </c>
    </row>
    <row r="225">
      <c r="A225" s="68" t="n">
        <v>44013</v>
      </c>
      <c r="B225" t="inlineStr">
        <is>
          <t>其他(含未列明)</t>
        </is>
      </c>
      <c r="C225" t="n">
        <v>855.76</v>
      </c>
      <c r="F225" t="inlineStr">
        <is>
          <t>https://online.customs.gov.cn/</t>
        </is>
      </c>
      <c r="G225" t="inlineStr">
        <is>
          <t>Wind 数据终端，2026-08-01 采集；分国别为吨换算万吨</t>
        </is>
      </c>
    </row>
    <row r="226">
      <c r="A226" s="68" t="n">
        <v>43983</v>
      </c>
      <c r="B226" t="inlineStr">
        <is>
          <t>阿根廷</t>
        </is>
      </c>
      <c r="C226" t="n">
        <v>30.59</v>
      </c>
      <c r="F226" t="inlineStr">
        <is>
          <t>https://online.customs.gov.cn/</t>
        </is>
      </c>
      <c r="G226" t="inlineStr">
        <is>
          <t>Wind 数据终端，2026-08-01 采集；分国别为吨换算万吨</t>
        </is>
      </c>
    </row>
    <row r="227">
      <c r="A227" s="68" t="n">
        <v>43983</v>
      </c>
      <c r="B227" t="inlineStr">
        <is>
          <t>其他(含未列明)</t>
        </is>
      </c>
      <c r="C227" t="n">
        <v>1085.41</v>
      </c>
      <c r="F227" t="inlineStr">
        <is>
          <t>https://online.customs.gov.cn/</t>
        </is>
      </c>
      <c r="G227" t="inlineStr">
        <is>
          <t>Wind 数据终端，2026-08-01 采集；分国别为吨换算万吨</t>
        </is>
      </c>
    </row>
    <row r="228">
      <c r="A228" s="68" t="n">
        <v>43922</v>
      </c>
      <c r="B228" t="inlineStr">
        <is>
          <t>阿根廷</t>
        </is>
      </c>
      <c r="C228" t="n">
        <v>5.62</v>
      </c>
      <c r="F228" t="inlineStr">
        <is>
          <t>https://online.customs.gov.cn/</t>
        </is>
      </c>
      <c r="G228" t="inlineStr">
        <is>
          <t>Wind 数据终端，2026-08-01 采集；分国别为吨换算万吨</t>
        </is>
      </c>
    </row>
    <row r="229">
      <c r="A229" s="68" t="n">
        <v>43922</v>
      </c>
      <c r="B229" t="inlineStr">
        <is>
          <t>其他(含未列明)</t>
        </is>
      </c>
      <c r="C229" t="n">
        <v>665.38</v>
      </c>
      <c r="F229" t="inlineStr">
        <is>
          <t>https://online.customs.gov.cn/</t>
        </is>
      </c>
      <c r="G229" t="inlineStr">
        <is>
          <t>Wind 数据终端，2026-08-01 采集；分国别为吨换算万吨</t>
        </is>
      </c>
    </row>
    <row r="230">
      <c r="A230" s="68" t="n">
        <v>43891</v>
      </c>
      <c r="B230" t="inlineStr">
        <is>
          <t>阿根廷</t>
        </is>
      </c>
      <c r="C230" t="n">
        <v>33.6</v>
      </c>
      <c r="F230" t="inlineStr">
        <is>
          <t>https://online.customs.gov.cn/</t>
        </is>
      </c>
      <c r="G230" t="inlineStr">
        <is>
          <t>Wind 数据终端，2026-08-01 采集；分国别为吨换算万吨</t>
        </is>
      </c>
    </row>
    <row r="231">
      <c r="A231" s="68" t="n">
        <v>43891</v>
      </c>
      <c r="B231" t="inlineStr">
        <is>
          <t>其他(含未列明)</t>
        </is>
      </c>
      <c r="C231" t="n">
        <v>394.4</v>
      </c>
      <c r="F231" t="inlineStr">
        <is>
          <t>https://online.customs.gov.cn/</t>
        </is>
      </c>
      <c r="G231" t="inlineStr">
        <is>
          <t>Wind 数据终端，2026-08-01 采集；分国别为吨换算万吨</t>
        </is>
      </c>
    </row>
    <row r="232">
      <c r="A232" s="68" t="n">
        <v>43862</v>
      </c>
      <c r="B232" t="inlineStr">
        <is>
          <t>阿根廷</t>
        </is>
      </c>
      <c r="C232" t="n">
        <v>43.22</v>
      </c>
      <c r="F232" t="inlineStr">
        <is>
          <t>https://online.customs.gov.cn/</t>
        </is>
      </c>
      <c r="G232" t="inlineStr">
        <is>
          <t>Wind 数据终端，2026-08-01 采集；分国别为吨换算万吨</t>
        </is>
      </c>
    </row>
    <row r="233">
      <c r="A233" s="68" t="n">
        <v>43862</v>
      </c>
      <c r="B233" t="inlineStr">
        <is>
          <t>其他(含未列明)</t>
        </is>
      </c>
      <c r="C233" t="n">
        <v>506.78</v>
      </c>
      <c r="F233" t="inlineStr">
        <is>
          <t>https://online.customs.gov.cn/</t>
        </is>
      </c>
      <c r="G233" t="inlineStr">
        <is>
          <t>Wind 数据终端，2026-08-01 采集；分国别为吨换算万吨</t>
        </is>
      </c>
    </row>
    <row r="234">
      <c r="A234" s="68" t="n">
        <v>43831</v>
      </c>
      <c r="B234" t="inlineStr">
        <is>
          <t>阿根廷</t>
        </is>
      </c>
      <c r="C234" t="n">
        <v>137.04</v>
      </c>
      <c r="F234" t="inlineStr">
        <is>
          <t>https://online.customs.gov.cn/</t>
        </is>
      </c>
      <c r="G234" t="inlineStr">
        <is>
          <t>Wind 数据终端，2026-08-01 采集；分国别为吨换算万吨</t>
        </is>
      </c>
    </row>
    <row r="235">
      <c r="A235" s="68" t="n">
        <v>43831</v>
      </c>
      <c r="B235" t="inlineStr">
        <is>
          <t>其他(含未列明)</t>
        </is>
      </c>
      <c r="C235" t="n">
        <v>663.96</v>
      </c>
      <c r="F235" t="inlineStr">
        <is>
          <t>https://online.customs.gov.cn/</t>
        </is>
      </c>
      <c r="G235" t="inlineStr">
        <is>
          <t>Wind 数据终端，2026-08-01 采集；分国别为吨换算万吨</t>
        </is>
      </c>
    </row>
    <row r="236">
      <c r="A236" s="68" t="n">
        <v>43800</v>
      </c>
      <c r="B236" t="inlineStr">
        <is>
          <t>阿根廷</t>
        </is>
      </c>
      <c r="C236" t="n">
        <v>130.49</v>
      </c>
      <c r="F236" t="inlineStr">
        <is>
          <t>https://online.customs.gov.cn/</t>
        </is>
      </c>
      <c r="G236" t="inlineStr">
        <is>
          <t>Wind 数据终端，2026-08-01 采集；分国别为吨换算万吨</t>
        </is>
      </c>
    </row>
    <row r="237">
      <c r="A237" s="68" t="n">
        <v>43800</v>
      </c>
      <c r="B237" t="inlineStr">
        <is>
          <t>其他(含未列明)</t>
        </is>
      </c>
      <c r="C237" t="n">
        <v>823.51</v>
      </c>
      <c r="F237" t="inlineStr">
        <is>
          <t>https://online.customs.gov.cn/</t>
        </is>
      </c>
      <c r="G237" t="inlineStr">
        <is>
          <t>Wind 数据终端，2026-08-01 采集；分国别为吨换算万吨</t>
        </is>
      </c>
    </row>
    <row r="238">
      <c r="A238" s="68" t="n">
        <v>43770</v>
      </c>
      <c r="B238" t="inlineStr">
        <is>
          <t>阿根廷</t>
        </is>
      </c>
      <c r="C238" t="n">
        <v>141.71</v>
      </c>
      <c r="F238" t="inlineStr">
        <is>
          <t>https://online.customs.gov.cn/</t>
        </is>
      </c>
      <c r="G238" t="inlineStr">
        <is>
          <t>Wind 数据终端，2026-08-01 采集；分国别为吨换算万吨</t>
        </is>
      </c>
    </row>
    <row r="239">
      <c r="A239" s="68" t="n">
        <v>43770</v>
      </c>
      <c r="B239" t="inlineStr">
        <is>
          <t>其他(含未列明)</t>
        </is>
      </c>
      <c r="C239" t="n">
        <v>686.29</v>
      </c>
      <c r="F239" t="inlineStr">
        <is>
          <t>https://online.customs.gov.cn/</t>
        </is>
      </c>
      <c r="G239" t="inlineStr">
        <is>
          <t>Wind 数据终端，2026-08-01 采集；分国别为吨换算万吨</t>
        </is>
      </c>
    </row>
    <row r="240">
      <c r="A240" s="68" t="n">
        <v>43739</v>
      </c>
      <c r="B240" t="inlineStr">
        <is>
          <t>阿根廷</t>
        </is>
      </c>
      <c r="C240" t="n">
        <v>96.01000000000001</v>
      </c>
      <c r="F240" t="inlineStr">
        <is>
          <t>https://online.customs.gov.cn/</t>
        </is>
      </c>
      <c r="G240" t="inlineStr">
        <is>
          <t>Wind 数据终端，2026-08-01 采集；分国别为吨换算万吨</t>
        </is>
      </c>
    </row>
    <row r="241">
      <c r="A241" s="68" t="n">
        <v>43739</v>
      </c>
      <c r="B241" t="inlineStr">
        <is>
          <t>其他(含未列明)</t>
        </is>
      </c>
      <c r="C241" t="n">
        <v>521.99</v>
      </c>
      <c r="F241" t="inlineStr">
        <is>
          <t>https://online.customs.gov.cn/</t>
        </is>
      </c>
      <c r="G241" t="inlineStr">
        <is>
          <t>Wind 数据终端，2026-08-01 采集；分国别为吨换算万吨</t>
        </is>
      </c>
    </row>
    <row r="242">
      <c r="A242" s="68" t="n">
        <v>43709</v>
      </c>
      <c r="B242" t="inlineStr">
        <is>
          <t>阿根廷</t>
        </is>
      </c>
      <c r="C242" t="n">
        <v>97.65000000000001</v>
      </c>
      <c r="F242" t="inlineStr">
        <is>
          <t>https://online.customs.gov.cn/</t>
        </is>
      </c>
      <c r="G242" t="inlineStr">
        <is>
          <t>Wind 数据终端，2026-08-01 采集；分国别为吨换算万吨</t>
        </is>
      </c>
    </row>
    <row r="243">
      <c r="A243" s="68" t="n">
        <v>43709</v>
      </c>
      <c r="B243" t="inlineStr">
        <is>
          <t>其他(含未列明)</t>
        </is>
      </c>
      <c r="C243" t="n">
        <v>722.35</v>
      </c>
      <c r="F243" t="inlineStr">
        <is>
          <t>https://online.customs.gov.cn/</t>
        </is>
      </c>
      <c r="G243" t="inlineStr">
        <is>
          <t>Wind 数据终端，2026-08-01 采集；分国别为吨换算万吨</t>
        </is>
      </c>
    </row>
    <row r="244">
      <c r="A244" s="68" t="n">
        <v>43678</v>
      </c>
      <c r="B244" t="inlineStr">
        <is>
          <t>阿根廷</t>
        </is>
      </c>
      <c r="C244" t="n">
        <v>65.51000000000001</v>
      </c>
      <c r="F244" t="inlineStr">
        <is>
          <t>https://online.customs.gov.cn/</t>
        </is>
      </c>
      <c r="G244" t="inlineStr">
        <is>
          <t>Wind 数据终端，2026-08-01 采集；分国别为吨换算万吨</t>
        </is>
      </c>
    </row>
    <row r="245">
      <c r="A245" s="68" t="n">
        <v>43678</v>
      </c>
      <c r="B245" t="inlineStr">
        <is>
          <t>其他(含未列明)</t>
        </is>
      </c>
      <c r="C245" t="n">
        <v>882.49</v>
      </c>
      <c r="F245" t="inlineStr">
        <is>
          <t>https://online.customs.gov.cn/</t>
        </is>
      </c>
      <c r="G245" t="inlineStr">
        <is>
          <t>Wind 数据终端，2026-08-01 采集；分国别为吨换算万吨</t>
        </is>
      </c>
    </row>
    <row r="246">
      <c r="A246" s="68" t="n">
        <v>43647</v>
      </c>
      <c r="B246" t="inlineStr">
        <is>
          <t>阿根廷</t>
        </is>
      </c>
      <c r="C246" t="n">
        <v>107.32</v>
      </c>
      <c r="F246" t="inlineStr">
        <is>
          <t>https://online.customs.gov.cn/</t>
        </is>
      </c>
      <c r="G246" t="inlineStr">
        <is>
          <t>Wind 数据终端，2026-08-01 采集；分国别为吨换算万吨</t>
        </is>
      </c>
    </row>
    <row r="247">
      <c r="A247" s="68" t="n">
        <v>43647</v>
      </c>
      <c r="B247" t="inlineStr">
        <is>
          <t>其他(含未列明)</t>
        </is>
      </c>
      <c r="C247" t="n">
        <v>756.6799999999999</v>
      </c>
      <c r="F247" t="inlineStr">
        <is>
          <t>https://online.customs.gov.cn/</t>
        </is>
      </c>
      <c r="G247" t="inlineStr">
        <is>
          <t>Wind 数据终端，2026-08-01 采集；分国别为吨换算万吨</t>
        </is>
      </c>
    </row>
    <row r="248">
      <c r="A248" s="68" t="n">
        <v>43617</v>
      </c>
      <c r="B248" t="inlineStr">
        <is>
          <t>阿根廷</t>
        </is>
      </c>
      <c r="C248" t="n">
        <v>25.52</v>
      </c>
      <c r="F248" t="inlineStr">
        <is>
          <t>https://online.customs.gov.cn/</t>
        </is>
      </c>
      <c r="G248" t="inlineStr">
        <is>
          <t>Wind 数据终端，2026-08-01 采集；分国别为吨换算万吨</t>
        </is>
      </c>
    </row>
    <row r="249">
      <c r="A249" s="68" t="n">
        <v>43617</v>
      </c>
      <c r="B249" t="inlineStr">
        <is>
          <t>其他(含未列明)</t>
        </is>
      </c>
      <c r="C249" t="n">
        <v>625.48</v>
      </c>
      <c r="F249" t="inlineStr">
        <is>
          <t>https://online.customs.gov.cn/</t>
        </is>
      </c>
      <c r="G249" t="inlineStr">
        <is>
          <t>Wind 数据终端，2026-08-01 采集；分国别为吨换算万吨</t>
        </is>
      </c>
    </row>
    <row r="250">
      <c r="A250" s="68" t="n">
        <v>43525</v>
      </c>
      <c r="B250" t="inlineStr">
        <is>
          <t>阿根廷</t>
        </is>
      </c>
      <c r="C250" t="n">
        <v>32.29</v>
      </c>
      <c r="F250" t="inlineStr">
        <is>
          <t>https://online.customs.gov.cn/</t>
        </is>
      </c>
      <c r="G250" t="inlineStr">
        <is>
          <t>Wind 数据终端，2026-08-01 采集；分国别为吨换算万吨</t>
        </is>
      </c>
    </row>
    <row r="251">
      <c r="A251" s="68" t="n">
        <v>43525</v>
      </c>
      <c r="B251" t="inlineStr">
        <is>
          <t>其他(含未列明)</t>
        </is>
      </c>
      <c r="C251" t="n">
        <v>459.71</v>
      </c>
      <c r="F251" t="inlineStr">
        <is>
          <t>https://online.customs.gov.cn/</t>
        </is>
      </c>
      <c r="G251" t="inlineStr">
        <is>
          <t>Wind 数据终端，2026-08-01 采集；分国别为吨换算万吨</t>
        </is>
      </c>
    </row>
    <row r="252">
      <c r="A252" s="68" t="n">
        <v>43497</v>
      </c>
      <c r="B252" t="inlineStr">
        <is>
          <t>阿根廷</t>
        </is>
      </c>
      <c r="C252" t="n">
        <v>84.11</v>
      </c>
      <c r="F252" t="inlineStr">
        <is>
          <t>https://online.customs.gov.cn/</t>
        </is>
      </c>
      <c r="G252" t="inlineStr">
        <is>
          <t>Wind 数据终端，2026-08-01 采集；分国别为吨换算万吨</t>
        </is>
      </c>
    </row>
    <row r="253">
      <c r="A253" s="68" t="n">
        <v>43497</v>
      </c>
      <c r="B253" t="inlineStr">
        <is>
          <t>其他(含未列明)</t>
        </is>
      </c>
      <c r="C253" t="n">
        <v>361.89</v>
      </c>
      <c r="F253" t="inlineStr">
        <is>
          <t>https://online.customs.gov.cn/</t>
        </is>
      </c>
      <c r="G253" t="inlineStr">
        <is>
          <t>Wind 数据终端，2026-08-01 采集；分国别为吨换算万吨</t>
        </is>
      </c>
    </row>
    <row r="254">
      <c r="A254" s="68" t="n">
        <v>43466</v>
      </c>
      <c r="B254" t="inlineStr">
        <is>
          <t>阿根廷</t>
        </is>
      </c>
      <c r="C254" t="n">
        <v>98.51000000000001</v>
      </c>
      <c r="F254" t="inlineStr">
        <is>
          <t>https://online.customs.gov.cn/</t>
        </is>
      </c>
      <c r="G254" t="inlineStr">
        <is>
          <t>Wind 数据终端，2026-08-01 采集；分国别为吨换算万吨</t>
        </is>
      </c>
    </row>
    <row r="255">
      <c r="A255" s="68" t="n">
        <v>43466</v>
      </c>
      <c r="B255" t="inlineStr">
        <is>
          <t>其他(含未列明)</t>
        </is>
      </c>
      <c r="C255" t="n">
        <v>639.49</v>
      </c>
      <c r="F255" t="inlineStr">
        <is>
          <t>https://online.customs.gov.cn/</t>
        </is>
      </c>
      <c r="G255" t="inlineStr">
        <is>
          <t>Wind 数据终端，2026-08-01 采集；分国别为吨换算万吨</t>
        </is>
      </c>
    </row>
    <row r="256">
      <c r="A256" s="68" t="n">
        <v>43435</v>
      </c>
      <c r="B256" t="inlineStr">
        <is>
          <t>阿根廷</t>
        </is>
      </c>
      <c r="C256" t="n">
        <v>18.66</v>
      </c>
      <c r="F256" t="inlineStr">
        <is>
          <t>https://online.customs.gov.cn/</t>
        </is>
      </c>
      <c r="G256" t="inlineStr">
        <is>
          <t>Wind 数据终端，2026-08-01 采集；分国别为吨换算万吨</t>
        </is>
      </c>
    </row>
    <row r="257">
      <c r="A257" s="68" t="n">
        <v>43435</v>
      </c>
      <c r="B257" t="inlineStr">
        <is>
          <t>其他(含未列明)</t>
        </is>
      </c>
      <c r="C257" t="n">
        <v>553.34</v>
      </c>
      <c r="F257" t="inlineStr">
        <is>
          <t>https://online.customs.gov.cn/</t>
        </is>
      </c>
      <c r="G257" t="inlineStr">
        <is>
          <t>Wind 数据终端，2026-08-01 采集；分国别为吨换算万吨</t>
        </is>
      </c>
    </row>
    <row r="258">
      <c r="A258" s="68" t="n">
        <v>43405</v>
      </c>
      <c r="B258" t="inlineStr">
        <is>
          <t>阿根廷</t>
        </is>
      </c>
      <c r="C258" t="n">
        <v>3.61</v>
      </c>
      <c r="F258" t="inlineStr">
        <is>
          <t>https://online.customs.gov.cn/</t>
        </is>
      </c>
      <c r="G258" t="inlineStr">
        <is>
          <t>Wind 数据终端，2026-08-01 采集；分国别为吨换算万吨</t>
        </is>
      </c>
    </row>
    <row r="259">
      <c r="A259" s="68" t="n">
        <v>43405</v>
      </c>
      <c r="B259" t="inlineStr">
        <is>
          <t>其他(含未列明)</t>
        </is>
      </c>
      <c r="C259" t="n">
        <v>534.39</v>
      </c>
      <c r="F259" t="inlineStr">
        <is>
          <t>https://online.customs.gov.cn/</t>
        </is>
      </c>
      <c r="G259" t="inlineStr">
        <is>
          <t>Wind 数据终端，2026-08-01 采集；分国别为吨换算万吨</t>
        </is>
      </c>
    </row>
    <row r="260">
      <c r="A260" s="68" t="n">
        <v>43374</v>
      </c>
      <c r="B260" t="inlineStr">
        <is>
          <t>阿根廷</t>
        </is>
      </c>
      <c r="C260" t="n">
        <v>3.32</v>
      </c>
      <c r="F260" t="inlineStr">
        <is>
          <t>https://online.customs.gov.cn/</t>
        </is>
      </c>
      <c r="G260" t="inlineStr">
        <is>
          <t>Wind 数据终端，2026-08-01 采集；分国别为吨换算万吨</t>
        </is>
      </c>
    </row>
    <row r="261">
      <c r="A261" s="68" t="n">
        <v>43374</v>
      </c>
      <c r="B261" t="inlineStr">
        <is>
          <t>其他(含未列明)</t>
        </is>
      </c>
      <c r="C261" t="n">
        <v>688.6799999999999</v>
      </c>
      <c r="F261" t="inlineStr">
        <is>
          <t>https://online.customs.gov.cn/</t>
        </is>
      </c>
      <c r="G261" t="inlineStr">
        <is>
          <t>Wind 数据终端，2026-08-01 采集；分国别为吨换算万吨</t>
        </is>
      </c>
    </row>
    <row r="262">
      <c r="A262" s="68" t="n">
        <v>43344</v>
      </c>
      <c r="B262" t="inlineStr">
        <is>
          <t>阿根廷</t>
        </is>
      </c>
      <c r="C262" t="n">
        <v>15.35</v>
      </c>
      <c r="F262" t="inlineStr">
        <is>
          <t>https://online.customs.gov.cn/</t>
        </is>
      </c>
      <c r="G262" t="inlineStr">
        <is>
          <t>Wind 数据终端，2026-08-01 采集；分国别为吨换算万吨</t>
        </is>
      </c>
    </row>
    <row r="263">
      <c r="A263" s="68" t="n">
        <v>43344</v>
      </c>
      <c r="B263" t="inlineStr">
        <is>
          <t>其他(含未列明)</t>
        </is>
      </c>
      <c r="C263" t="n">
        <v>785.65</v>
      </c>
      <c r="F263" t="inlineStr">
        <is>
          <t>https://online.customs.gov.cn/</t>
        </is>
      </c>
      <c r="G263" t="inlineStr">
        <is>
          <t>Wind 数据终端，2026-08-01 采集；分国别为吨换算万吨</t>
        </is>
      </c>
    </row>
    <row r="264">
      <c r="A264" s="68" t="n">
        <v>43313</v>
      </c>
      <c r="B264" t="inlineStr">
        <is>
          <t>阿根廷</t>
        </is>
      </c>
      <c r="C264" t="n">
        <v>54.79</v>
      </c>
      <c r="F264" t="inlineStr">
        <is>
          <t>https://online.customs.gov.cn/</t>
        </is>
      </c>
      <c r="G264" t="inlineStr">
        <is>
          <t>Wind 数据终端，2026-08-01 采集；分国别为吨换算万吨</t>
        </is>
      </c>
    </row>
    <row r="265">
      <c r="A265" s="68" t="n">
        <v>43313</v>
      </c>
      <c r="B265" t="inlineStr">
        <is>
          <t>其他(含未列明)</t>
        </is>
      </c>
      <c r="C265" t="n">
        <v>860.21</v>
      </c>
      <c r="F265" t="inlineStr">
        <is>
          <t>https://online.customs.gov.cn/</t>
        </is>
      </c>
      <c r="G265" t="inlineStr">
        <is>
          <t>Wind 数据终端，2026-08-01 采集；分国别为吨换算万吨</t>
        </is>
      </c>
    </row>
    <row r="266">
      <c r="A266" s="68" t="n">
        <v>43282</v>
      </c>
      <c r="B266" t="inlineStr">
        <is>
          <t>阿根廷</t>
        </is>
      </c>
      <c r="C266" t="n">
        <v>29.71</v>
      </c>
      <c r="F266" t="inlineStr">
        <is>
          <t>https://online.customs.gov.cn/</t>
        </is>
      </c>
      <c r="G266" t="inlineStr">
        <is>
          <t>Wind 数据终端，2026-08-01 采集；分国别为吨换算万吨</t>
        </is>
      </c>
    </row>
    <row r="267">
      <c r="A267" s="68" t="n">
        <v>43282</v>
      </c>
      <c r="B267" t="inlineStr">
        <is>
          <t>其他(含未列明)</t>
        </is>
      </c>
      <c r="C267" t="n">
        <v>771.29</v>
      </c>
      <c r="F267" t="inlineStr">
        <is>
          <t>https://online.customs.gov.cn/</t>
        </is>
      </c>
      <c r="G267" t="inlineStr">
        <is>
          <t>Wind 数据终端，2026-08-01 采集；分国别为吨换算万吨</t>
        </is>
      </c>
    </row>
    <row r="268">
      <c r="A268" s="68" t="n">
        <v>43252</v>
      </c>
      <c r="B268" t="inlineStr">
        <is>
          <t>阿根廷</t>
        </is>
      </c>
      <c r="C268" t="n">
        <v>12.03</v>
      </c>
      <c r="F268" t="inlineStr">
        <is>
          <t>https://online.customs.gov.cn/</t>
        </is>
      </c>
      <c r="G268" t="inlineStr">
        <is>
          <t>Wind 数据终端，2026-08-01 采集；分国别为吨换算万吨</t>
        </is>
      </c>
    </row>
    <row r="269">
      <c r="A269" s="68" t="n">
        <v>43252</v>
      </c>
      <c r="B269" t="inlineStr">
        <is>
          <t>其他(含未列明)</t>
        </is>
      </c>
      <c r="C269" t="n">
        <v>857.97</v>
      </c>
      <c r="F269" t="inlineStr">
        <is>
          <t>https://online.customs.gov.cn/</t>
        </is>
      </c>
      <c r="G269" t="inlineStr">
        <is>
          <t>Wind 数据终端，2026-08-01 采集；分国别为吨换算万吨</t>
        </is>
      </c>
    </row>
    <row r="270">
      <c r="A270" s="72" t="n">
        <v>45139</v>
      </c>
      <c r="B270" t="inlineStr">
        <is>
          <t>全部来源国(合计)</t>
        </is>
      </c>
      <c r="C270" t="n">
        <v>936</v>
      </c>
      <c r="D270" t="n">
        <v>373.65</v>
      </c>
      <c r="E270">
        <f>IF(OR(C270="",D270=""),"",D270*10000/C270)</f>
        <v/>
      </c>
      <c r="F270" t="inlineStr">
        <is>
          <t>https://online.customs.gov.cn/</t>
        </is>
      </c>
      <c r="G270" t="inlineStr">
        <is>
          <t>金额=海关总署人民币口径（Gildata 采集，万元→亿元）；数量=表内分来源国加总</t>
        </is>
      </c>
    </row>
    <row r="271">
      <c r="A271" s="72" t="n">
        <v>45170</v>
      </c>
      <c r="B271" t="inlineStr">
        <is>
          <t>全部来源国(合计)</t>
        </is>
      </c>
      <c r="C271" t="n">
        <v>715</v>
      </c>
      <c r="D271" t="n">
        <v>292.3</v>
      </c>
      <c r="E271">
        <f>IF(OR(C271="",D271=""),"",D271*10000/C271)</f>
        <v/>
      </c>
      <c r="F271" t="inlineStr">
        <is>
          <t>https://online.customs.gov.cn/</t>
        </is>
      </c>
      <c r="G271" t="inlineStr">
        <is>
          <t>金额=海关总署人民币口径（Gildata 采集，万元→亿元）；数量=表内分来源国加总</t>
        </is>
      </c>
    </row>
    <row r="272">
      <c r="A272" s="72" t="n">
        <v>45200</v>
      </c>
      <c r="B272" t="inlineStr">
        <is>
          <t>全部来源国(合计)</t>
        </is>
      </c>
      <c r="C272" t="n">
        <v>516</v>
      </c>
      <c r="D272" t="n">
        <v>211.49</v>
      </c>
      <c r="E272">
        <f>IF(OR(C272="",D272=""),"",D272*10000/C272)</f>
        <v/>
      </c>
      <c r="F272" t="inlineStr">
        <is>
          <t>https://online.customs.gov.cn/</t>
        </is>
      </c>
      <c r="G272" t="inlineStr">
        <is>
          <t>金额=海关总署人民币口径（Gildata 采集，万元→亿元）；数量=表内分来源国加总</t>
        </is>
      </c>
    </row>
    <row r="273">
      <c r="A273" s="72" t="n">
        <v>45231</v>
      </c>
      <c r="B273" t="inlineStr">
        <is>
          <t>全部来源国(合计)</t>
        </is>
      </c>
      <c r="C273" t="n">
        <v>792</v>
      </c>
      <c r="D273" t="n">
        <v>326.87</v>
      </c>
      <c r="E273">
        <f>IF(OR(C273="",D273=""),"",D273*10000/C273)</f>
        <v/>
      </c>
      <c r="F273" t="inlineStr">
        <is>
          <t>https://online.customs.gov.cn/</t>
        </is>
      </c>
      <c r="G273" t="inlineStr">
        <is>
          <t>金额=海关总署人民币口径（Gildata 采集，万元→亿元）；数量=表内分来源国加总</t>
        </is>
      </c>
    </row>
    <row r="274">
      <c r="A274" s="72" t="n">
        <v>45261</v>
      </c>
      <c r="B274" t="inlineStr">
        <is>
          <t>全部来源国(合计)</t>
        </is>
      </c>
      <c r="C274" t="n">
        <v>982</v>
      </c>
      <c r="D274" t="n">
        <v>403.84</v>
      </c>
      <c r="E274">
        <f>IF(OR(C274="",D274=""),"",D274*10000/C274)</f>
        <v/>
      </c>
      <c r="F274" t="inlineStr">
        <is>
          <t>https://online.customs.gov.cn/</t>
        </is>
      </c>
      <c r="G274" t="inlineStr">
        <is>
          <t>金额=海关总署人民币口径（Gildata 采集，万元→亿元）；数量=表内分来源国加总</t>
        </is>
      </c>
    </row>
    <row r="275">
      <c r="A275" s="72" t="n">
        <v>45292</v>
      </c>
      <c r="B275" t="inlineStr">
        <is>
          <t>全部来源国(合计)</t>
        </is>
      </c>
      <c r="C275" t="n">
        <v>792</v>
      </c>
      <c r="D275" t="n">
        <v>324.11</v>
      </c>
      <c r="E275">
        <f>IF(OR(C275="",D275=""),"",D275*10000/C275)</f>
        <v/>
      </c>
      <c r="F275" t="inlineStr">
        <is>
          <t>https://online.customs.gov.cn/</t>
        </is>
      </c>
      <c r="G275" t="inlineStr">
        <is>
          <t>金额=海关总署人民币口径（Gildata 采集，万元→亿元）；数量=表内分来源国加总</t>
        </is>
      </c>
    </row>
    <row r="276">
      <c r="A276" s="72" t="n">
        <v>45323</v>
      </c>
      <c r="B276" t="inlineStr">
        <is>
          <t>全部来源国(合计)</t>
        </is>
      </c>
      <c r="C276" t="n">
        <v>512</v>
      </c>
      <c r="D276" t="n">
        <v>204.5</v>
      </c>
      <c r="E276">
        <f>IF(OR(C276="",D276=""),"",D276*10000/C276)</f>
        <v/>
      </c>
      <c r="F276" t="inlineStr">
        <is>
          <t>https://online.customs.gov.cn/</t>
        </is>
      </c>
      <c r="G276" t="inlineStr">
        <is>
          <t>金额=海关总署人民币口径（Gildata 采集，万元→亿元）；数量=表内分来源国加总</t>
        </is>
      </c>
    </row>
    <row r="277">
      <c r="A277" s="72" t="n">
        <v>45352</v>
      </c>
      <c r="B277" t="inlineStr">
        <is>
          <t>全部来源国(合计)</t>
        </is>
      </c>
      <c r="C277" t="n">
        <v>554</v>
      </c>
      <c r="D277" t="n">
        <v>214.03</v>
      </c>
      <c r="E277">
        <f>IF(OR(C277="",D277=""),"",D277*10000/C277)</f>
        <v/>
      </c>
      <c r="F277" t="inlineStr">
        <is>
          <t>https://online.customs.gov.cn/</t>
        </is>
      </c>
      <c r="G277" t="inlineStr">
        <is>
          <t>金额=海关总署人民币口径（Gildata 采集，万元→亿元）；数量=表内分来源国加总</t>
        </is>
      </c>
    </row>
    <row r="278">
      <c r="A278" s="72" t="n">
        <v>45383</v>
      </c>
      <c r="B278" t="inlineStr">
        <is>
          <t>全部来源国(合计)</t>
        </is>
      </c>
      <c r="C278" t="n">
        <v>857</v>
      </c>
      <c r="D278" t="n">
        <v>310.95</v>
      </c>
      <c r="E278">
        <f>IF(OR(C278="",D278=""),"",D278*10000/C278)</f>
        <v/>
      </c>
      <c r="F278" t="inlineStr">
        <is>
          <t>https://online.customs.gov.cn/</t>
        </is>
      </c>
      <c r="G278" t="inlineStr">
        <is>
          <t>金额=海关总署人民币口径（Gildata 采集，万元→亿元）；数量=表内分来源国加总</t>
        </is>
      </c>
    </row>
    <row r="279">
      <c r="A279" s="72" t="n">
        <v>45413</v>
      </c>
      <c r="B279" t="inlineStr">
        <is>
          <t>全部来源国(合计)</t>
        </is>
      </c>
      <c r="C279" t="n">
        <v>1022</v>
      </c>
      <c r="D279" t="n">
        <v>354.06</v>
      </c>
      <c r="E279">
        <f>IF(OR(C279="",D279=""),"",D279*10000/C279)</f>
        <v/>
      </c>
      <c r="F279" t="inlineStr">
        <is>
          <t>https://online.customs.gov.cn/</t>
        </is>
      </c>
      <c r="G279" t="inlineStr">
        <is>
          <t>金额=海关总署人民币口径（Gildata 采集，万元→亿元）；数量=表内分来源国加总</t>
        </is>
      </c>
    </row>
    <row r="280">
      <c r="A280" s="72" t="n">
        <v>45444</v>
      </c>
      <c r="B280" t="inlineStr">
        <is>
          <t>全部来源国(合计)</t>
        </is>
      </c>
      <c r="C280" t="n">
        <v>1111</v>
      </c>
      <c r="D280" t="n">
        <v>385.95</v>
      </c>
      <c r="E280">
        <f>IF(OR(C280="",D280=""),"",D280*10000/C280)</f>
        <v/>
      </c>
      <c r="F280" t="inlineStr">
        <is>
          <t>https://online.customs.gov.cn/</t>
        </is>
      </c>
      <c r="G280" t="inlineStr">
        <is>
          <t>金额=海关总署人民币口径（Gildata 采集，万元→亿元）；数量=表内分来源国加总</t>
        </is>
      </c>
    </row>
    <row r="281">
      <c r="A281" s="72" t="n">
        <v>45474</v>
      </c>
      <c r="B281" t="inlineStr">
        <is>
          <t>全部来源国(合计)</t>
        </is>
      </c>
      <c r="C281" t="n">
        <v>985</v>
      </c>
      <c r="D281" t="n">
        <v>345.04</v>
      </c>
      <c r="E281">
        <f>IF(OR(C281="",D281=""),"",D281*10000/C281)</f>
        <v/>
      </c>
      <c r="F281" t="inlineStr">
        <is>
          <t>https://online.customs.gov.cn/</t>
        </is>
      </c>
      <c r="G281" t="inlineStr">
        <is>
          <t>金额=海关总署人民币口径（Gildata 采集，万元→亿元）；数量=表内分来源国加总</t>
        </is>
      </c>
    </row>
    <row r="282">
      <c r="A282" s="72" t="n">
        <v>45505</v>
      </c>
      <c r="B282" t="inlineStr">
        <is>
          <t>全部来源国(合计)</t>
        </is>
      </c>
      <c r="C282" t="n">
        <v>1214</v>
      </c>
      <c r="D282" t="n">
        <v>426.41</v>
      </c>
      <c r="E282">
        <f>IF(OR(C282="",D282=""),"",D282*10000/C282)</f>
        <v/>
      </c>
      <c r="F282" t="inlineStr">
        <is>
          <t>https://online.customs.gov.cn/</t>
        </is>
      </c>
      <c r="G282" t="inlineStr">
        <is>
          <t>金额=海关总署人民币口径（Gildata 采集，万元→亿元）；数量=表内分来源国加总</t>
        </is>
      </c>
    </row>
    <row r="283">
      <c r="A283" s="72" t="n">
        <v>45536</v>
      </c>
      <c r="B283" t="inlineStr">
        <is>
          <t>全部来源国(合计)</t>
        </is>
      </c>
      <c r="C283" t="n">
        <v>1137</v>
      </c>
      <c r="D283" t="n">
        <v>403.22</v>
      </c>
      <c r="E283">
        <f>IF(OR(C283="",D283=""),"",D283*10000/C283)</f>
        <v/>
      </c>
      <c r="F283" t="inlineStr">
        <is>
          <t>https://online.customs.gov.cn/</t>
        </is>
      </c>
      <c r="G283" t="inlineStr">
        <is>
          <t>金额=海关总署人民币口径（Gildata 采集，万元→亿元）；数量=表内分来源国加总</t>
        </is>
      </c>
    </row>
    <row r="284">
      <c r="A284" s="72" t="n">
        <v>45566</v>
      </c>
      <c r="B284" t="inlineStr">
        <is>
          <t>全部来源国(合计)</t>
        </is>
      </c>
      <c r="C284" t="n">
        <v>809</v>
      </c>
      <c r="D284" t="n">
        <v>278.2</v>
      </c>
      <c r="E284">
        <f>IF(OR(C284="",D284=""),"",D284*10000/C284)</f>
        <v/>
      </c>
      <c r="F284" t="inlineStr">
        <is>
          <t>https://online.customs.gov.cn/</t>
        </is>
      </c>
      <c r="G284" t="inlineStr">
        <is>
          <t>金额=海关总署人民币口径（Gildata 采集，万元→亿元）；数量=表内分来源国加总</t>
        </is>
      </c>
    </row>
    <row r="285">
      <c r="A285" s="72" t="n">
        <v>45597</v>
      </c>
      <c r="B285" t="inlineStr">
        <is>
          <t>全部来源国(合计)</t>
        </is>
      </c>
      <c r="C285" t="n">
        <v>715</v>
      </c>
      <c r="D285" t="n">
        <v>250.24</v>
      </c>
      <c r="E285">
        <f>IF(OR(C285="",D285=""),"",D285*10000/C285)</f>
        <v/>
      </c>
      <c r="F285" t="inlineStr">
        <is>
          <t>https://online.customs.gov.cn/</t>
        </is>
      </c>
      <c r="G285" t="inlineStr">
        <is>
          <t>金额=海关总署人民币口径（Gildata 采集，万元→亿元）；数量=表内分来源国加总</t>
        </is>
      </c>
    </row>
    <row r="286">
      <c r="A286" s="72" t="n">
        <v>45627</v>
      </c>
      <c r="B286" t="inlineStr">
        <is>
          <t>全部来源国(合计)</t>
        </is>
      </c>
      <c r="C286" t="n">
        <v>794</v>
      </c>
      <c r="D286" t="n">
        <v>265.88</v>
      </c>
      <c r="E286">
        <f>IF(OR(C286="",D286=""),"",D286*10000/C286)</f>
        <v/>
      </c>
      <c r="F286" t="inlineStr">
        <is>
          <t>https://online.customs.gov.cn/</t>
        </is>
      </c>
      <c r="G286" t="inlineStr">
        <is>
          <t>金额=海关总署人民币口径（Gildata 采集，万元→亿元）；数量=表内分来源国加总</t>
        </is>
      </c>
    </row>
    <row r="287">
      <c r="A287" s="72" t="n">
        <v>45658</v>
      </c>
      <c r="B287" t="inlineStr">
        <is>
          <t>全部来源国(合计)</t>
        </is>
      </c>
      <c r="C287" t="n">
        <v>778</v>
      </c>
      <c r="D287" t="n">
        <v>258.98</v>
      </c>
      <c r="E287">
        <f>IF(OR(C287="",D287=""),"",D287*10000/C287)</f>
        <v/>
      </c>
      <c r="F287" t="inlineStr">
        <is>
          <t>https://online.customs.gov.cn/</t>
        </is>
      </c>
      <c r="G287" t="inlineStr">
        <is>
          <t>金额=海关总署人民币口径（Gildata 采集，万元→亿元）；数量=表内分来源国加总</t>
        </is>
      </c>
    </row>
    <row r="288">
      <c r="A288" s="72" t="n">
        <v>45689</v>
      </c>
      <c r="B288" t="inlineStr">
        <is>
          <t>全部来源国(合计)</t>
        </is>
      </c>
      <c r="C288" t="n">
        <v>583</v>
      </c>
      <c r="D288" t="n">
        <v>193.94</v>
      </c>
      <c r="E288">
        <f>IF(OR(C288="",D288=""),"",D288*10000/C288)</f>
        <v/>
      </c>
      <c r="F288" t="inlineStr">
        <is>
          <t>https://online.customs.gov.cn/</t>
        </is>
      </c>
      <c r="G288" t="inlineStr">
        <is>
          <t>金额=海关总署人民币口径（Gildata 采集，万元→亿元）；数量=表内分来源国加总</t>
        </is>
      </c>
    </row>
    <row r="289">
      <c r="A289" s="72" t="n">
        <v>45717</v>
      </c>
      <c r="B289" t="inlineStr">
        <is>
          <t>全部来源国(合计)</t>
        </is>
      </c>
      <c r="C289" t="n">
        <v>350</v>
      </c>
      <c r="D289" t="n">
        <v>115.53</v>
      </c>
      <c r="E289">
        <f>IF(OR(C289="",D289=""),"",D289*10000/C289)</f>
        <v/>
      </c>
      <c r="F289" t="inlineStr">
        <is>
          <t>https://online.customs.gov.cn/</t>
        </is>
      </c>
      <c r="G289" t="inlineStr">
        <is>
          <t>金额=海关总署人民币口径（Gildata 采集，万元→亿元）；数量=表内分来源国加总</t>
        </is>
      </c>
    </row>
    <row r="290">
      <c r="A290" s="72" t="n">
        <v>45748</v>
      </c>
      <c r="B290" t="inlineStr">
        <is>
          <t>全部来源国(合计)</t>
        </is>
      </c>
      <c r="C290" t="n">
        <v>608</v>
      </c>
      <c r="D290" t="n">
        <v>193.54</v>
      </c>
      <c r="E290">
        <f>IF(OR(C290="",D290=""),"",D290*10000/C290)</f>
        <v/>
      </c>
      <c r="F290" t="inlineStr">
        <is>
          <t>https://online.customs.gov.cn/</t>
        </is>
      </c>
      <c r="G290" t="inlineStr">
        <is>
          <t>金额=海关总署人民币口径（Gildata 采集，万元→亿元）；数量=表内分来源国加总</t>
        </is>
      </c>
    </row>
    <row r="291">
      <c r="A291" s="72" t="n">
        <v>45778</v>
      </c>
      <c r="B291" t="inlineStr">
        <is>
          <t>全部来源国(合计)</t>
        </is>
      </c>
      <c r="C291" t="n">
        <v>1392</v>
      </c>
      <c r="D291" t="n">
        <v>438.74</v>
      </c>
      <c r="E291">
        <f>IF(OR(C291="",D291=""),"",D291*10000/C291)</f>
        <v/>
      </c>
      <c r="F291" t="inlineStr">
        <is>
          <t>https://online.customs.gov.cn/</t>
        </is>
      </c>
      <c r="G291" t="inlineStr">
        <is>
          <t>金额=海关总署人民币口径（Gildata 采集，万元→亿元）；数量=表内分来源国加总</t>
        </is>
      </c>
    </row>
    <row r="292">
      <c r="A292" s="72" t="n">
        <v>45809</v>
      </c>
      <c r="B292" t="inlineStr">
        <is>
          <t>全部来源国(合计)</t>
        </is>
      </c>
      <c r="C292" t="n">
        <v>1226</v>
      </c>
      <c r="D292" t="n">
        <v>383.99</v>
      </c>
      <c r="E292">
        <f>IF(OR(C292="",D292=""),"",D292*10000/C292)</f>
        <v/>
      </c>
      <c r="F292" t="inlineStr">
        <is>
          <t>https://online.customs.gov.cn/</t>
        </is>
      </c>
      <c r="G292" t="inlineStr">
        <is>
          <t>金额=海关总署人民币口径（Gildata 采集，万元→亿元）；数量=表内分来源国加总</t>
        </is>
      </c>
    </row>
    <row r="293">
      <c r="A293" s="72" t="n">
        <v>45839</v>
      </c>
      <c r="B293" t="inlineStr">
        <is>
          <t>全部来源国(合计)</t>
        </is>
      </c>
      <c r="C293" t="n">
        <v>1167</v>
      </c>
      <c r="D293" t="n">
        <v>368.08</v>
      </c>
      <c r="E293">
        <f>IF(OR(C293="",D293=""),"",D293*10000/C293)</f>
        <v/>
      </c>
      <c r="F293" t="inlineStr">
        <is>
          <t>https://online.customs.gov.cn/</t>
        </is>
      </c>
      <c r="G293" t="inlineStr">
        <is>
          <t>金额=海关总署人民币口径（Gildata 采集，万元→亿元）；数量=表内分来源国加总</t>
        </is>
      </c>
    </row>
    <row r="294">
      <c r="A294" s="72" t="n">
        <v>45870</v>
      </c>
      <c r="B294" t="inlineStr">
        <is>
          <t>全部来源国(合计)</t>
        </is>
      </c>
      <c r="C294" t="n">
        <v>1228</v>
      </c>
      <c r="D294" t="n">
        <v>390.17</v>
      </c>
      <c r="E294">
        <f>IF(OR(C294="",D294=""),"",D294*10000/C294)</f>
        <v/>
      </c>
      <c r="F294" t="inlineStr">
        <is>
          <t>https://online.customs.gov.cn/</t>
        </is>
      </c>
      <c r="G294" t="inlineStr">
        <is>
          <t>金额=海关总署人民币口径（Gildata 采集，万元→亿元）；数量=表内分来源国加总</t>
        </is>
      </c>
    </row>
    <row r="295">
      <c r="A295" s="72" t="n">
        <v>45901</v>
      </c>
      <c r="B295" t="inlineStr">
        <is>
          <t>全部来源国(合计)</t>
        </is>
      </c>
      <c r="C295" t="n">
        <v>1287</v>
      </c>
      <c r="D295" t="n">
        <v>410.63</v>
      </c>
      <c r="E295">
        <f>IF(OR(C295="",D295=""),"",D295*10000/C295)</f>
        <v/>
      </c>
      <c r="F295" t="inlineStr">
        <is>
          <t>https://online.customs.gov.cn/</t>
        </is>
      </c>
      <c r="G295" t="inlineStr">
        <is>
          <t>金额=海关总署人民币口径（Gildata 采集，万元→亿元）；数量=表内分来源国加总</t>
        </is>
      </c>
    </row>
    <row r="296">
      <c r="A296" s="72" t="n">
        <v>45931</v>
      </c>
      <c r="B296" t="inlineStr">
        <is>
          <t>全部来源国(合计)</t>
        </is>
      </c>
      <c r="C296" t="n">
        <v>948</v>
      </c>
      <c r="D296" t="n">
        <v>310.34</v>
      </c>
      <c r="E296">
        <f>IF(OR(C296="",D296=""),"",D296*10000/C296)</f>
        <v/>
      </c>
      <c r="F296" t="inlineStr">
        <is>
          <t>https://online.customs.gov.cn/</t>
        </is>
      </c>
      <c r="G296" t="inlineStr">
        <is>
          <t>金额=海关总署人民币口径（Gildata 采集，万元→亿元）；数量=表内分来源国加总</t>
        </is>
      </c>
    </row>
    <row r="297">
      <c r="A297" s="72" t="n">
        <v>45962</v>
      </c>
      <c r="B297" t="inlineStr">
        <is>
          <t>全部来源国(合计)</t>
        </is>
      </c>
      <c r="C297" t="n">
        <v>811</v>
      </c>
      <c r="D297" t="n">
        <v>269.16</v>
      </c>
      <c r="E297">
        <f>IF(OR(C297="",D297=""),"",D297*10000/C297)</f>
        <v/>
      </c>
      <c r="F297" t="inlineStr">
        <is>
          <t>https://online.customs.gov.cn/</t>
        </is>
      </c>
      <c r="G297" t="inlineStr">
        <is>
          <t>金额=海关总署人民币口径（Gildata 采集，万元→亿元）；数量=表内分来源国加总</t>
        </is>
      </c>
    </row>
    <row r="298">
      <c r="A298" s="72" t="n">
        <v>45992</v>
      </c>
      <c r="B298" t="inlineStr">
        <is>
          <t>全部来源国(合计)</t>
        </is>
      </c>
      <c r="C298" t="n">
        <v>804</v>
      </c>
      <c r="D298" t="n">
        <v>274.88</v>
      </c>
      <c r="E298">
        <f>IF(OR(C298="",D298=""),"",D298*10000/C298)</f>
        <v/>
      </c>
      <c r="F298" t="inlineStr">
        <is>
          <t>https://online.customs.gov.cn/</t>
        </is>
      </c>
      <c r="G298" t="inlineStr">
        <is>
          <t>金额=海关总署人民币口径（Gildata 采集，万元→亿元）；数量=表内分来源国加总</t>
        </is>
      </c>
    </row>
    <row r="299">
      <c r="A299" s="72" t="n">
        <v>46023</v>
      </c>
      <c r="B299" t="inlineStr">
        <is>
          <t>全部来源国(合计)</t>
        </is>
      </c>
      <c r="C299" t="n">
        <v>657</v>
      </c>
      <c r="D299" t="n">
        <v>228.84</v>
      </c>
      <c r="E299">
        <f>IF(OR(C299="",D299=""),"",D299*10000/C299)</f>
        <v/>
      </c>
      <c r="F299" t="inlineStr">
        <is>
          <t>https://online.customs.gov.cn/</t>
        </is>
      </c>
      <c r="G299" t="inlineStr">
        <is>
          <t>金额=海关总署人民币口径（Gildata 采集，万元→亿元）；数量=表内分来源国加总</t>
        </is>
      </c>
    </row>
    <row r="300">
      <c r="A300" s="72" t="n">
        <v>46054</v>
      </c>
      <c r="B300" t="inlineStr">
        <is>
          <t>全部来源国(合计)</t>
        </is>
      </c>
      <c r="C300" t="n">
        <v>598</v>
      </c>
      <c r="D300" t="n">
        <v>201.15</v>
      </c>
      <c r="E300">
        <f>IF(OR(C300="",D300=""),"",D300*10000/C300)</f>
        <v/>
      </c>
      <c r="F300" t="inlineStr">
        <is>
          <t>https://online.customs.gov.cn/</t>
        </is>
      </c>
      <c r="G300" t="inlineStr">
        <is>
          <t>金额=海关总署人民币口径（Gildata 采集，万元→亿元）；数量=表内分来源国加总</t>
        </is>
      </c>
    </row>
    <row r="301">
      <c r="A301" s="72" t="n">
        <v>46082</v>
      </c>
      <c r="B301" t="inlineStr">
        <is>
          <t>全部来源国(合计)</t>
        </is>
      </c>
      <c r="C301" t="n">
        <v>402</v>
      </c>
      <c r="D301" t="n">
        <v>134.65</v>
      </c>
      <c r="E301">
        <f>IF(OR(C301="",D301=""),"",D301*10000/C301)</f>
        <v/>
      </c>
      <c r="F301" t="inlineStr">
        <is>
          <t>https://online.customs.gov.cn/</t>
        </is>
      </c>
      <c r="G301" t="inlineStr">
        <is>
          <t>金额=海关总署人民币口径（Gildata 采集，万元→亿元）；数量=表内分来源国加总</t>
        </is>
      </c>
    </row>
    <row r="302">
      <c r="A302" s="72" t="n">
        <v>46113</v>
      </c>
      <c r="B302" t="inlineStr">
        <is>
          <t>全部来源国(合计)</t>
        </is>
      </c>
      <c r="C302" t="n">
        <v>848</v>
      </c>
      <c r="D302" t="n">
        <v>278.92</v>
      </c>
      <c r="E302">
        <f>IF(OR(C302="",D302=""),"",D302*10000/C302)</f>
        <v/>
      </c>
      <c r="F302" t="inlineStr">
        <is>
          <t>https://online.customs.gov.cn/</t>
        </is>
      </c>
      <c r="G302" t="inlineStr">
        <is>
          <t>金额=海关总署人民币口径（Gildata 采集，万元→亿元）；数量=表内分来源国加总</t>
        </is>
      </c>
    </row>
    <row r="303">
      <c r="A303" s="72" t="n">
        <v>46143</v>
      </c>
      <c r="B303" t="inlineStr">
        <is>
          <t>全部来源国(合计)</t>
        </is>
      </c>
      <c r="C303" t="n">
        <v>1179</v>
      </c>
      <c r="D303" t="n">
        <v>377.51</v>
      </c>
      <c r="E303">
        <f>IF(OR(C303="",D303=""),"",D303*10000/C303)</f>
        <v/>
      </c>
      <c r="F303" t="inlineStr">
        <is>
          <t>https://online.customs.gov.cn/</t>
        </is>
      </c>
      <c r="G303" t="inlineStr">
        <is>
          <t>金额=海关总署人民币口径（Gildata 采集，万元→亿元）；数量=表内分来源国加总</t>
        </is>
      </c>
    </row>
    <row r="304">
      <c r="A304" s="72" t="n">
        <v>46174</v>
      </c>
      <c r="B304" t="inlineStr">
        <is>
          <t>全部来源国(合计)</t>
        </is>
      </c>
      <c r="C304" t="n">
        <v>1355</v>
      </c>
      <c r="D304" t="n">
        <v>433.85</v>
      </c>
      <c r="E304">
        <f>IF(OR(C304="",D304=""),"",D304*10000/C304)</f>
        <v/>
      </c>
      <c r="F304" t="inlineStr">
        <is>
          <t>https://online.customs.gov.cn/</t>
        </is>
      </c>
      <c r="G304" t="inlineStr">
        <is>
          <t>金额=海关总署人民币口径（Gildata 采集，万元→亿元）；数量=表内分来源国加总</t>
        </is>
      </c>
    </row>
  </sheetData>
  <mergeCells count="2">
    <mergeCell ref="A3:G3"/>
    <mergeCell ref="A1:G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4" customWidth="1" min="11" max="11"/>
    <col width="24" customWidth="1" min="12" max="12"/>
    <col width="24" customWidth="1" min="13" max="13"/>
  </cols>
  <sheetData>
    <row r="1">
      <c r="A1" s="3" t="inlineStr">
        <is>
          <t>中国压榨与库存｜月度</t>
        </is>
      </c>
    </row>
    <row r="2"/>
    <row r="3">
      <c r="A3" s="41" t="inlineStr">
        <is>
          <t xml:space="preserve">首选来源：行业资讯、粮油信息中心、港口及油厂样本　</t>
        </is>
      </c>
    </row>
    <row r="4" ht="34" customHeight="1">
      <c r="A4" s="6" t="inlineStr">
        <is>
          <t>月份
必填</t>
        </is>
      </c>
      <c r="B4" s="6" t="inlineStr">
        <is>
          <t>区域
必填</t>
        </is>
      </c>
      <c r="C4" s="6" t="inlineStr">
        <is>
          <t>大豆到港量
必填</t>
        </is>
      </c>
      <c r="D4" s="6" t="inlineStr">
        <is>
          <t>大豆压榨量
必填</t>
        </is>
      </c>
      <c r="E4" s="6" t="inlineStr">
        <is>
          <t>平均开机率
选填</t>
        </is>
      </c>
      <c r="F4" s="6" t="inlineStr">
        <is>
          <t>港口大豆库存
选填</t>
        </is>
      </c>
      <c r="G4" s="6" t="inlineStr">
        <is>
          <t>油厂大豆库存
必填</t>
        </is>
      </c>
      <c r="H4" s="6" t="inlineStr">
        <is>
          <t>油厂豆粕库存
必填</t>
        </is>
      </c>
      <c r="I4" s="6" t="inlineStr">
        <is>
          <t>豆粕产量
选填</t>
        </is>
      </c>
      <c r="J4" s="6" t="inlineStr">
        <is>
          <t>豆粕未执行合同
选填</t>
        </is>
      </c>
      <c r="K4" s="6" t="inlineStr">
        <is>
          <t>来源机构
必填</t>
        </is>
      </c>
      <c r="L4" s="6" t="inlineStr">
        <is>
          <t>来源网址
选填</t>
        </is>
      </c>
      <c r="M4" s="6" t="inlineStr">
        <is>
          <t>备注
选填</t>
        </is>
      </c>
    </row>
    <row r="5" ht="22" customHeight="1">
      <c r="A5" s="64" t="n">
        <v>46174</v>
      </c>
      <c r="B5" s="45" t="inlineStr">
        <is>
          <t>全国</t>
        </is>
      </c>
      <c r="C5" s="60" t="n"/>
      <c r="D5" s="60" t="n">
        <v>1048.32</v>
      </c>
      <c r="E5" s="69" t="n"/>
      <c r="F5" s="60" t="n">
        <v>860.04</v>
      </c>
      <c r="G5" s="60" t="n"/>
      <c r="H5" s="60" t="n">
        <v>71.15000000000001</v>
      </c>
      <c r="I5" s="60" t="n"/>
      <c r="J5" s="60" t="n"/>
      <c r="K5" s="45" t="inlineStr">
        <is>
          <t>Wind（资讯商月度压榨）</t>
        </is>
      </c>
      <c r="L5" s="45" t="n"/>
      <c r="M5" s="45" t="inlineStr">
        <is>
          <t>日历年月度口径；港口/油厂库存 Wind 无数据留空；港口大豆库存=汇易网月末值、油厂豆粕库存=汇易网周度月末值（Gildata 2026-08-01 采集）</t>
        </is>
      </c>
    </row>
    <row r="6" ht="22" customHeight="1">
      <c r="A6" s="66" t="n">
        <v>46143</v>
      </c>
      <c r="B6" s="46" t="inlineStr">
        <is>
          <t>全国</t>
        </is>
      </c>
      <c r="C6" s="62" t="n">
        <v>715.73</v>
      </c>
      <c r="D6" s="62" t="n">
        <v>907.92</v>
      </c>
      <c r="E6" s="70" t="n"/>
      <c r="F6" s="62" t="n">
        <v>866.33</v>
      </c>
      <c r="G6" s="62" t="n"/>
      <c r="H6" s="62" t="n">
        <v>36.55</v>
      </c>
      <c r="I6" s="62" t="n"/>
      <c r="J6" s="62" t="n"/>
      <c r="K6" s="46" t="inlineStr">
        <is>
          <t>Wind（资讯商月度压榨）</t>
        </is>
      </c>
      <c r="L6" s="46" t="n"/>
      <c r="M6" s="46" t="inlineStr">
        <is>
          <t>日历年月度口径；港口/油厂库存 Wind 无数据留空；到港=商务部半月合计、港口大豆库存=汇易网月末值、油厂豆粕库存=汇易网周度月末值（Gildata 2026-08-01 采集）</t>
        </is>
      </c>
    </row>
    <row r="7" ht="22" customHeight="1">
      <c r="A7" s="66" t="n">
        <v>46113</v>
      </c>
      <c r="B7" s="46" t="inlineStr">
        <is>
          <t>全国</t>
        </is>
      </c>
      <c r="C7" s="62" t="n">
        <v>630.95</v>
      </c>
      <c r="D7" s="62" t="n">
        <v>732.71</v>
      </c>
      <c r="E7" s="70" t="n"/>
      <c r="F7" s="62" t="n"/>
      <c r="G7" s="62" t="n"/>
      <c r="H7" s="62" t="n">
        <v>52.64</v>
      </c>
      <c r="I7" s="62" t="n"/>
      <c r="J7" s="62" t="n"/>
      <c r="K7" s="46" t="inlineStr">
        <is>
          <t>Wind（资讯商月度压榨）</t>
        </is>
      </c>
      <c r="L7" s="46" t="n"/>
      <c r="M7" s="46" t="inlineStr">
        <is>
          <t>日历年月度口径；港口/油厂库存 Wind 无数据留空；到港=商务部半月合计、油厂豆粕库存=汇易网周度月末值（Gildata 2026-08-01 采集）</t>
        </is>
      </c>
    </row>
    <row r="8" ht="22" customHeight="1">
      <c r="A8" s="66" t="n">
        <v>46082</v>
      </c>
      <c r="B8" s="46" t="inlineStr">
        <is>
          <t>全国</t>
        </is>
      </c>
      <c r="C8" s="62" t="n"/>
      <c r="D8" s="62" t="n">
        <v>874.11</v>
      </c>
      <c r="E8" s="70" t="n"/>
      <c r="F8" s="62" t="n"/>
      <c r="G8" s="62" t="n"/>
      <c r="H8" s="62" t="n">
        <v>63.1</v>
      </c>
      <c r="I8" s="62" t="n"/>
      <c r="J8" s="62" t="n"/>
      <c r="K8" s="46" t="inlineStr">
        <is>
          <t>Wind（资讯商月度压榨）</t>
        </is>
      </c>
      <c r="L8" s="46" t="n"/>
      <c r="M8" s="46" t="inlineStr">
        <is>
          <t>日历年月度口径；港口/油厂库存 Wind 无数据留空；油厂豆粕库存=汇易网周度月末值（Gildata 2026-08-01 采集）</t>
        </is>
      </c>
    </row>
    <row r="9" ht="22" customHeight="1">
      <c r="A9" s="66" t="n">
        <v>46054</v>
      </c>
      <c r="B9" s="46" t="inlineStr">
        <is>
          <t>全国</t>
        </is>
      </c>
      <c r="C9" s="62" t="n">
        <v>199.02</v>
      </c>
      <c r="D9" s="62" t="n">
        <v>467.29</v>
      </c>
      <c r="E9" s="70" t="n"/>
      <c r="F9" s="62" t="n"/>
      <c r="G9" s="62" t="n"/>
      <c r="H9" s="62" t="n">
        <v>80.89</v>
      </c>
      <c r="I9" s="62" t="n"/>
      <c r="J9" s="62" t="n"/>
      <c r="K9" s="46" t="inlineStr">
        <is>
          <t>Wind（资讯商月度压榨）</t>
        </is>
      </c>
      <c r="L9" s="46" t="n"/>
      <c r="M9" s="46" t="inlineStr">
        <is>
          <t>日历年月度口径；港口/油厂库存 Wind 无数据留空；到港=商务部半月合计、油厂豆粕库存=汇易网周度月末值（Gildata 2026-08-01 采集）</t>
        </is>
      </c>
    </row>
    <row r="10" ht="22" customHeight="1">
      <c r="A10" s="66" t="n">
        <v>46023</v>
      </c>
      <c r="B10" s="46" t="inlineStr">
        <is>
          <t>全国</t>
        </is>
      </c>
      <c r="C10" s="62" t="n">
        <v>397.98</v>
      </c>
      <c r="D10" s="62" t="n">
        <v>936.72</v>
      </c>
      <c r="E10" s="70" t="n"/>
      <c r="F10" s="62" t="n"/>
      <c r="G10" s="62" t="n"/>
      <c r="H10" s="62" t="n">
        <v>88.81</v>
      </c>
      <c r="I10" s="62" t="n"/>
      <c r="J10" s="62" t="n"/>
      <c r="K10" s="46" t="inlineStr">
        <is>
          <t>Wind（资讯商月度压榨）</t>
        </is>
      </c>
      <c r="L10" s="46" t="n"/>
      <c r="M10" s="46" t="inlineStr">
        <is>
          <t>日历年月度口径；港口/油厂库存 Wind 无数据留空；到港=商务部半月合计、油厂豆粕库存=汇易网周度月末值（Gildata 2026-08-01 采集）</t>
        </is>
      </c>
    </row>
    <row r="11" ht="22" customHeight="1">
      <c r="A11" s="66" t="n">
        <v>45992</v>
      </c>
      <c r="B11" s="46" t="inlineStr">
        <is>
          <t>全国</t>
        </is>
      </c>
      <c r="C11" s="62" t="n">
        <v>441.72</v>
      </c>
      <c r="D11" s="62" t="n">
        <v>963.29</v>
      </c>
      <c r="E11" s="70" t="n"/>
      <c r="F11" s="62" t="n"/>
      <c r="G11" s="62" t="n"/>
      <c r="H11" s="62" t="n">
        <v>110.22</v>
      </c>
      <c r="I11" s="62" t="n"/>
      <c r="J11" s="62" t="n"/>
      <c r="K11" s="46" t="inlineStr">
        <is>
          <t>Wind（资讯商月度压榨）</t>
        </is>
      </c>
      <c r="L11" s="46" t="n"/>
      <c r="M11" s="46" t="inlineStr">
        <is>
          <t>日历年月度口径；港口/油厂库存 Wind 无数据留空；到港=商务部半月合计、油厂豆粕库存=汇易网周度月末值（Gildata 2026-08-01 采集）</t>
        </is>
      </c>
    </row>
    <row r="12" ht="22" customHeight="1">
      <c r="A12" s="66" t="n">
        <v>45962</v>
      </c>
      <c r="B12" s="46" t="inlineStr">
        <is>
          <t>全国</t>
        </is>
      </c>
      <c r="C12" s="62" t="n">
        <v>447.24</v>
      </c>
      <c r="D12" s="62" t="n">
        <v>941.55</v>
      </c>
      <c r="E12" s="70" t="n"/>
      <c r="F12" s="62" t="n"/>
      <c r="G12" s="62" t="n"/>
      <c r="H12" s="62" t="n">
        <v>105.65</v>
      </c>
      <c r="I12" s="62" t="n"/>
      <c r="J12" s="62" t="n"/>
      <c r="K12" s="46" t="inlineStr">
        <is>
          <t>Wind（资讯商月度压榨）</t>
        </is>
      </c>
      <c r="L12" s="46" t="n"/>
      <c r="M12" s="46" t="inlineStr">
        <is>
          <t>日历年月度口径；港口/油厂库存 Wind 无数据留空；到港=商务部半月合计、油厂豆粕库存=汇易网周度月末值（Gildata 2026-08-01 采集）</t>
        </is>
      </c>
    </row>
    <row r="13" ht="22" customHeight="1">
      <c r="A13" s="66" t="n">
        <v>45931</v>
      </c>
      <c r="B13" s="46" t="inlineStr">
        <is>
          <t>全国</t>
        </is>
      </c>
      <c r="C13" s="62" t="n">
        <v>488.46</v>
      </c>
      <c r="D13" s="62" t="n">
        <v>924.62</v>
      </c>
      <c r="E13" s="70" t="n"/>
      <c r="F13" s="62" t="n"/>
      <c r="G13" s="62" t="n"/>
      <c r="H13" s="62" t="n">
        <v>100.44</v>
      </c>
      <c r="I13" s="62" t="n"/>
      <c r="J13" s="62" t="n"/>
      <c r="K13" s="46" t="inlineStr">
        <is>
          <t>Wind（资讯商月度压榨）</t>
        </is>
      </c>
      <c r="L13" s="46" t="n"/>
      <c r="M13" s="46" t="inlineStr">
        <is>
          <t>日历年月度口径；港口/油厂库存 Wind 无数据留空；到港=商务部半月合计、油厂豆粕库存=汇易网周度月末值（Gildata 2026-08-01 采集）</t>
        </is>
      </c>
    </row>
    <row r="14" ht="22" customHeight="1">
      <c r="A14" s="66" t="n">
        <v>45901</v>
      </c>
      <c r="B14" s="46" t="inlineStr">
        <is>
          <t>全国</t>
        </is>
      </c>
      <c r="C14" s="62" t="n">
        <v>548.77</v>
      </c>
      <c r="D14" s="62" t="n">
        <v>1020.24</v>
      </c>
      <c r="E14" s="70" t="n"/>
      <c r="F14" s="62" t="n"/>
      <c r="G14" s="62" t="n"/>
      <c r="H14" s="62" t="n">
        <v>111.82</v>
      </c>
      <c r="I14" s="62" t="n"/>
      <c r="J14" s="62" t="n"/>
      <c r="K14" s="46" t="inlineStr">
        <is>
          <t>Wind（资讯商月度压榨）</t>
        </is>
      </c>
      <c r="L14" s="46" t="n"/>
      <c r="M14" s="46" t="inlineStr">
        <is>
          <t>日历年月度口径；港口/油厂库存 Wind 无数据留空；到港=商务部半月合计、油厂豆粕库存=汇易网周度月末值（Gildata 2026-08-01 采集）</t>
        </is>
      </c>
    </row>
    <row r="15" ht="22" customHeight="1">
      <c r="A15" s="66" t="n">
        <v>45870</v>
      </c>
      <c r="B15" s="46" t="inlineStr">
        <is>
          <t>全国</t>
        </is>
      </c>
      <c r="C15" s="62" t="n">
        <v>711.73</v>
      </c>
      <c r="D15" s="62" t="n">
        <v>1064.68</v>
      </c>
      <c r="E15" s="70" t="n"/>
      <c r="F15" s="62" t="n"/>
      <c r="G15" s="62" t="n"/>
      <c r="H15" s="62" t="n">
        <v>98.55</v>
      </c>
      <c r="I15" s="62" t="n"/>
      <c r="J15" s="62" t="n"/>
      <c r="K15" s="46" t="inlineStr">
        <is>
          <t>Wind（资讯商月度压榨）</t>
        </is>
      </c>
      <c r="L15" s="46" t="n"/>
      <c r="M15" s="46" t="inlineStr">
        <is>
          <t>日历年月度口径；港口/油厂库存 Wind 无数据留空；到港=商务部半月合计、油厂豆粕库存=汇易网周度月末值（Gildata 2026-08-01 采集）</t>
        </is>
      </c>
    </row>
    <row r="16" ht="22" customHeight="1">
      <c r="A16" s="66" t="n">
        <v>45839</v>
      </c>
      <c r="B16" s="46" t="inlineStr">
        <is>
          <t>全国</t>
        </is>
      </c>
      <c r="C16" s="62" t="n"/>
      <c r="D16" s="62" t="n">
        <v>1023.03</v>
      </c>
      <c r="E16" s="70" t="n"/>
      <c r="F16" s="62" t="n"/>
      <c r="G16" s="62" t="n"/>
      <c r="H16" s="62" t="n"/>
      <c r="I16" s="62" t="n"/>
      <c r="J16" s="62" t="n"/>
      <c r="K16" s="46" t="inlineStr">
        <is>
          <t>Wind（资讯商月度压榨）</t>
        </is>
      </c>
      <c r="L16" s="46" t="n"/>
      <c r="M16" s="46" t="inlineStr">
        <is>
          <t>日历年月度口径；港口/油厂库存 Wind 无数据留空</t>
        </is>
      </c>
    </row>
    <row r="17" ht="22" customHeight="1">
      <c r="A17" s="66" t="n">
        <v>45809</v>
      </c>
      <c r="B17" s="46" t="inlineStr">
        <is>
          <t>全国</t>
        </is>
      </c>
      <c r="C17" s="62" t="n"/>
      <c r="D17" s="62" t="n">
        <v>1063.66</v>
      </c>
      <c r="E17" s="70" t="n"/>
      <c r="F17" s="62" t="n"/>
      <c r="G17" s="62" t="n"/>
      <c r="H17" s="62" t="n"/>
      <c r="I17" s="62" t="n"/>
      <c r="J17" s="62" t="n"/>
      <c r="K17" s="46" t="inlineStr">
        <is>
          <t>Wind（资讯商月度压榨）</t>
        </is>
      </c>
      <c r="L17" s="46" t="n"/>
      <c r="M17" s="46" t="inlineStr">
        <is>
          <t>日历年月度口径；港口/油厂库存 Wind 无数据留空</t>
        </is>
      </c>
    </row>
    <row r="18" ht="22" customHeight="1">
      <c r="A18" s="66" t="n">
        <v>45778</v>
      </c>
      <c r="B18" s="46" t="inlineStr">
        <is>
          <t>全国</t>
        </is>
      </c>
      <c r="C18" s="62" t="n"/>
      <c r="D18" s="62" t="n">
        <v>939.0599999999999</v>
      </c>
      <c r="E18" s="70" t="n"/>
      <c r="F18" s="62" t="n"/>
      <c r="G18" s="62" t="n"/>
      <c r="H18" s="62" t="n"/>
      <c r="I18" s="62" t="n"/>
      <c r="J18" s="62" t="n"/>
      <c r="K18" s="46" t="inlineStr">
        <is>
          <t>Wind（资讯商月度压榨）</t>
        </is>
      </c>
      <c r="L18" s="46" t="n"/>
      <c r="M18" s="46" t="inlineStr">
        <is>
          <t>日历年月度口径；港口/油厂库存 Wind 无数据留空</t>
        </is>
      </c>
    </row>
    <row r="19" ht="22" customHeight="1">
      <c r="A19" s="66" t="n">
        <v>45748</v>
      </c>
      <c r="B19" s="46" t="inlineStr">
        <is>
          <t>全国</t>
        </is>
      </c>
      <c r="C19" s="62" t="n"/>
      <c r="D19" s="62" t="n">
        <v>563.28</v>
      </c>
      <c r="E19" s="70" t="n"/>
      <c r="F19" s="62" t="n"/>
      <c r="G19" s="62" t="n"/>
      <c r="H19" s="62" t="n"/>
      <c r="I19" s="62" t="n"/>
      <c r="J19" s="62" t="n"/>
      <c r="K19" s="46" t="inlineStr">
        <is>
          <t>Wind（资讯商月度压榨）</t>
        </is>
      </c>
      <c r="L19" s="46" t="n"/>
      <c r="M19" s="46" t="inlineStr">
        <is>
          <t>日历年月度口径；港口/油厂库存 Wind 无数据留空</t>
        </is>
      </c>
    </row>
    <row r="20" ht="22" customHeight="1">
      <c r="A20" s="66" t="n">
        <v>45717</v>
      </c>
      <c r="B20" s="46" t="inlineStr">
        <is>
          <t>全国</t>
        </is>
      </c>
      <c r="C20" s="62" t="n"/>
      <c r="D20" s="62" t="n">
        <v>664.29</v>
      </c>
      <c r="E20" s="70" t="n"/>
      <c r="F20" s="62" t="n"/>
      <c r="G20" s="62" t="n"/>
      <c r="H20" s="62" t="n"/>
      <c r="I20" s="62" t="n"/>
      <c r="J20" s="62" t="n"/>
      <c r="K20" s="46" t="inlineStr">
        <is>
          <t>Wind（资讯商月度压榨）</t>
        </is>
      </c>
      <c r="L20" s="46" t="n"/>
      <c r="M20" s="46" t="inlineStr">
        <is>
          <t>日历年月度口径；港口/油厂库存 Wind 无数据留空</t>
        </is>
      </c>
    </row>
    <row r="21" ht="22" customHeight="1">
      <c r="A21" s="66" t="n">
        <v>45689</v>
      </c>
      <c r="B21" s="46" t="inlineStr">
        <is>
          <t>全国</t>
        </is>
      </c>
      <c r="C21" s="62" t="n"/>
      <c r="D21" s="62" t="n">
        <v>686.26</v>
      </c>
      <c r="E21" s="70" t="n"/>
      <c r="F21" s="62" t="n"/>
      <c r="G21" s="62" t="n"/>
      <c r="H21" s="62" t="n"/>
      <c r="I21" s="62" t="n"/>
      <c r="J21" s="62" t="n"/>
      <c r="K21" s="46" t="inlineStr">
        <is>
          <t>Wind（资讯商月度压榨）</t>
        </is>
      </c>
      <c r="L21" s="46" t="n"/>
      <c r="M21" s="46" t="inlineStr">
        <is>
          <t>日历年月度口径；港口/油厂库存 Wind 无数据留空</t>
        </is>
      </c>
    </row>
    <row r="22" ht="22" customHeight="1">
      <c r="A22" s="66" t="n">
        <v>45658</v>
      </c>
      <c r="B22" s="46" t="inlineStr">
        <is>
          <t>全国</t>
        </is>
      </c>
      <c r="C22" s="62" t="n"/>
      <c r="D22" s="62" t="n">
        <v>777.6799999999999</v>
      </c>
      <c r="E22" s="70" t="n"/>
      <c r="F22" s="62" t="n"/>
      <c r="G22" s="62" t="n"/>
      <c r="H22" s="62" t="n"/>
      <c r="I22" s="62" t="n"/>
      <c r="J22" s="62" t="n"/>
      <c r="K22" s="46" t="inlineStr">
        <is>
          <t>Wind（资讯商月度压榨）</t>
        </is>
      </c>
      <c r="L22" s="46" t="n"/>
      <c r="M22" s="46" t="inlineStr">
        <is>
          <t>日历年月度口径；港口/油厂库存 Wind 无数据留空</t>
        </is>
      </c>
    </row>
    <row r="23" ht="22" customHeight="1">
      <c r="A23" s="66" t="n">
        <v>45627</v>
      </c>
      <c r="B23" s="46" t="inlineStr">
        <is>
          <t>全国</t>
        </is>
      </c>
      <c r="C23" s="62" t="n"/>
      <c r="D23" s="62" t="n">
        <v>872.67</v>
      </c>
      <c r="E23" s="70" t="n"/>
      <c r="F23" s="62" t="n"/>
      <c r="G23" s="62" t="n"/>
      <c r="H23" s="62" t="n"/>
      <c r="I23" s="62" t="n"/>
      <c r="J23" s="62" t="n"/>
      <c r="K23" s="46" t="inlineStr">
        <is>
          <t>Wind（资讯商月度压榨）</t>
        </is>
      </c>
      <c r="L23" s="46" t="n"/>
      <c r="M23" s="46" t="inlineStr">
        <is>
          <t>日历年月度口径；港口/油厂库存 Wind 无数据留空</t>
        </is>
      </c>
    </row>
    <row r="24" ht="22" customHeight="1">
      <c r="A24" s="66" t="n">
        <v>45597</v>
      </c>
      <c r="B24" s="46" t="inlineStr">
        <is>
          <t>全国</t>
        </is>
      </c>
      <c r="C24" s="62" t="n"/>
      <c r="D24" s="62" t="n">
        <v>853.73</v>
      </c>
      <c r="E24" s="70" t="n"/>
      <c r="F24" s="62" t="n"/>
      <c r="G24" s="62" t="n"/>
      <c r="H24" s="62" t="n"/>
      <c r="I24" s="62" t="n"/>
      <c r="J24" s="62" t="n"/>
      <c r="K24" s="46" t="inlineStr">
        <is>
          <t>Wind（资讯商月度压榨）</t>
        </is>
      </c>
      <c r="L24" s="46" t="n"/>
      <c r="M24" s="46" t="inlineStr">
        <is>
          <t>日历年月度口径；港口/油厂库存 Wind 无数据留空</t>
        </is>
      </c>
    </row>
    <row r="25">
      <c r="A25" s="68" t="n">
        <v>45566</v>
      </c>
      <c r="B25" t="inlineStr">
        <is>
          <t>全国</t>
        </is>
      </c>
      <c r="D25" t="n">
        <v>819.15</v>
      </c>
      <c r="K25" t="inlineStr">
        <is>
          <t>Wind（资讯商月度压榨）</t>
        </is>
      </c>
      <c r="M25" t="inlineStr">
        <is>
          <t>日历年月度口径；港口/油厂库存 Wind 无数据留空</t>
        </is>
      </c>
    </row>
    <row r="26">
      <c r="A26" s="68" t="n">
        <v>45536</v>
      </c>
      <c r="B26" t="inlineStr">
        <is>
          <t>全国</t>
        </is>
      </c>
      <c r="D26" t="n">
        <v>947.79</v>
      </c>
      <c r="K26" t="inlineStr">
        <is>
          <t>Wind（资讯商月度压榨）</t>
        </is>
      </c>
      <c r="M26" t="inlineStr">
        <is>
          <t>日历年月度口径；港口/油厂库存 Wind 无数据留空</t>
        </is>
      </c>
    </row>
    <row r="27">
      <c r="A27" s="68" t="n">
        <v>45505</v>
      </c>
      <c r="B27" t="inlineStr">
        <is>
          <t>全国</t>
        </is>
      </c>
      <c r="D27" t="n">
        <v>932.46</v>
      </c>
      <c r="K27" t="inlineStr">
        <is>
          <t>Wind（资讯商月度压榨）</t>
        </is>
      </c>
      <c r="M27" t="inlineStr">
        <is>
          <t>日历年月度口径；港口/油厂库存 Wind 无数据留空</t>
        </is>
      </c>
    </row>
    <row r="28">
      <c r="A28" s="68" t="n">
        <v>45474</v>
      </c>
      <c r="B28" t="inlineStr">
        <is>
          <t>全国</t>
        </is>
      </c>
      <c r="D28" t="n">
        <v>899.3099999999999</v>
      </c>
      <c r="K28" t="inlineStr">
        <is>
          <t>Wind（资讯商月度压榨）</t>
        </is>
      </c>
      <c r="M28" t="inlineStr">
        <is>
          <t>日历年月度口径；港口/油厂库存 Wind 无数据留空</t>
        </is>
      </c>
    </row>
    <row r="29">
      <c r="A29" s="68" t="n">
        <v>45444</v>
      </c>
      <c r="B29" t="inlineStr">
        <is>
          <t>全国</t>
        </is>
      </c>
      <c r="D29" t="n">
        <v>921.36</v>
      </c>
      <c r="K29" t="inlineStr">
        <is>
          <t>Wind（资讯商月度压榨）</t>
        </is>
      </c>
      <c r="M29" t="inlineStr">
        <is>
          <t>日历年月度口径；港口/油厂库存 Wind 无数据留空</t>
        </is>
      </c>
    </row>
    <row r="30">
      <c r="A30" s="68" t="n">
        <v>45413</v>
      </c>
      <c r="B30" t="inlineStr">
        <is>
          <t>全国</t>
        </is>
      </c>
      <c r="D30" t="n">
        <v>897.8200000000001</v>
      </c>
      <c r="K30" t="inlineStr">
        <is>
          <t>Wind（资讯商月度压榨）</t>
        </is>
      </c>
      <c r="M30" t="inlineStr">
        <is>
          <t>日历年月度口径；港口/油厂库存 Wind 无数据留空</t>
        </is>
      </c>
    </row>
    <row r="31">
      <c r="A31" s="68" t="n">
        <v>45383</v>
      </c>
      <c r="B31" t="inlineStr">
        <is>
          <t>全国</t>
        </is>
      </c>
      <c r="D31" t="n">
        <v>812.34</v>
      </c>
      <c r="K31" t="inlineStr">
        <is>
          <t>Wind（资讯商月度压榨）</t>
        </is>
      </c>
      <c r="M31" t="inlineStr">
        <is>
          <t>日历年月度口径；港口/油厂库存 Wind 无数据留空</t>
        </is>
      </c>
    </row>
    <row r="32">
      <c r="A32" s="68" t="n">
        <v>45352</v>
      </c>
      <c r="B32" t="inlineStr">
        <is>
          <t>全国</t>
        </is>
      </c>
      <c r="D32" t="n">
        <v>744.74</v>
      </c>
      <c r="K32" t="inlineStr">
        <is>
          <t>Wind（资讯商月度压榨）</t>
        </is>
      </c>
      <c r="M32" t="inlineStr">
        <is>
          <t>日历年月度口径；港口/油厂库存 Wind 无数据留空</t>
        </is>
      </c>
    </row>
    <row r="33">
      <c r="A33" s="68" t="n">
        <v>45323</v>
      </c>
      <c r="B33" t="inlineStr">
        <is>
          <t>全国</t>
        </is>
      </c>
      <c r="D33" t="n">
        <v>426.55</v>
      </c>
      <c r="K33" t="inlineStr">
        <is>
          <t>Wind（资讯商月度压榨）</t>
        </is>
      </c>
      <c r="M33" t="inlineStr">
        <is>
          <t>日历年月度口径；港口/油厂库存 Wind 无数据留空</t>
        </is>
      </c>
    </row>
    <row r="34">
      <c r="A34" s="68" t="n">
        <v>45292</v>
      </c>
      <c r="B34" t="inlineStr">
        <is>
          <t>全国</t>
        </is>
      </c>
      <c r="D34" t="n">
        <v>851.08</v>
      </c>
      <c r="K34" t="inlineStr">
        <is>
          <t>Wind（资讯商月度压榨）</t>
        </is>
      </c>
      <c r="M34" t="inlineStr">
        <is>
          <t>日历年月度口径；港口/油厂库存 Wind 无数据留空</t>
        </is>
      </c>
    </row>
    <row r="35">
      <c r="A35" s="68" t="n">
        <v>45261</v>
      </c>
      <c r="B35" t="inlineStr">
        <is>
          <t>全国</t>
        </is>
      </c>
      <c r="D35" t="n">
        <v>821.36</v>
      </c>
      <c r="K35" t="inlineStr">
        <is>
          <t>Wind（资讯商月度压榨）</t>
        </is>
      </c>
      <c r="M35" t="inlineStr">
        <is>
          <t>日历年月度口径；港口/油厂库存 Wind 无数据留空</t>
        </is>
      </c>
    </row>
    <row r="36">
      <c r="A36" s="68" t="n">
        <v>45231</v>
      </c>
      <c r="B36" t="inlineStr">
        <is>
          <t>全国</t>
        </is>
      </c>
      <c r="D36" t="n">
        <v>826.9299999999999</v>
      </c>
      <c r="K36" t="inlineStr">
        <is>
          <t>Wind（资讯商月度压榨）</t>
        </is>
      </c>
      <c r="M36" t="inlineStr">
        <is>
          <t>日历年月度口径；港口/油厂库存 Wind 无数据留空</t>
        </is>
      </c>
    </row>
    <row r="37">
      <c r="A37" s="68" t="n">
        <v>45200</v>
      </c>
      <c r="B37" t="inlineStr">
        <is>
          <t>全国</t>
        </is>
      </c>
      <c r="D37" t="n">
        <v>725.28</v>
      </c>
      <c r="K37" t="inlineStr">
        <is>
          <t>Wind（资讯商月度压榨）</t>
        </is>
      </c>
      <c r="M37" t="inlineStr">
        <is>
          <t>日历年月度口径；港口/油厂库存 Wind 无数据留空</t>
        </is>
      </c>
    </row>
    <row r="38">
      <c r="A38" s="68" t="n">
        <v>45170</v>
      </c>
      <c r="B38" t="inlineStr">
        <is>
          <t>全国</t>
        </is>
      </c>
      <c r="D38" t="n">
        <v>845</v>
      </c>
      <c r="K38" t="inlineStr">
        <is>
          <t>Wind（资讯商月度压榨）</t>
        </is>
      </c>
      <c r="M38" t="inlineStr">
        <is>
          <t>日历年月度口径；港口/油厂库存 Wind 无数据留空</t>
        </is>
      </c>
    </row>
    <row r="39">
      <c r="A39" s="68" t="n">
        <v>45139</v>
      </c>
      <c r="B39" t="inlineStr">
        <is>
          <t>全国</t>
        </is>
      </c>
      <c r="D39" t="n">
        <v>920.1799999999999</v>
      </c>
      <c r="K39" t="inlineStr">
        <is>
          <t>Wind（资讯商月度压榨）</t>
        </is>
      </c>
      <c r="M39" t="inlineStr">
        <is>
          <t>日历年月度口径；港口/油厂库存 Wind 无数据留空</t>
        </is>
      </c>
    </row>
    <row r="40">
      <c r="A40" s="68" t="n">
        <v>45108</v>
      </c>
      <c r="B40" t="inlineStr">
        <is>
          <t>全国</t>
        </is>
      </c>
      <c r="D40" t="n">
        <v>918.61</v>
      </c>
      <c r="K40" t="inlineStr">
        <is>
          <t>Wind（资讯商月度压榨）</t>
        </is>
      </c>
      <c r="M40" t="inlineStr">
        <is>
          <t>日历年月度口径；港口/油厂库存 Wind 无数据留空</t>
        </is>
      </c>
    </row>
    <row r="41">
      <c r="A41" s="68" t="n">
        <v>45078</v>
      </c>
      <c r="B41" t="inlineStr">
        <is>
          <t>全国</t>
        </is>
      </c>
      <c r="D41" t="n">
        <v>870.25</v>
      </c>
      <c r="K41" t="inlineStr">
        <is>
          <t>Wind（资讯商月度压榨）</t>
        </is>
      </c>
      <c r="M41" t="inlineStr">
        <is>
          <t>日历年月度口径；港口/油厂库存 Wind 无数据留空</t>
        </is>
      </c>
    </row>
    <row r="42">
      <c r="A42" s="68" t="n">
        <v>45047</v>
      </c>
      <c r="B42" t="inlineStr">
        <is>
          <t>全国</t>
        </is>
      </c>
      <c r="D42" t="n">
        <v>873.27</v>
      </c>
      <c r="K42" t="inlineStr">
        <is>
          <t>Wind（资讯商月度压榨）</t>
        </is>
      </c>
      <c r="M42" t="inlineStr">
        <is>
          <t>日历年月度口径；港口/油厂库存 Wind 无数据留空</t>
        </is>
      </c>
    </row>
    <row r="43">
      <c r="A43" s="68" t="n">
        <v>45017</v>
      </c>
      <c r="B43" t="inlineStr">
        <is>
          <t>全国</t>
        </is>
      </c>
      <c r="D43" t="n">
        <v>712.55</v>
      </c>
      <c r="K43" t="inlineStr">
        <is>
          <t>Wind（资讯商月度压榨）</t>
        </is>
      </c>
      <c r="M43" t="inlineStr">
        <is>
          <t>日历年月度口径；港口/油厂库存 Wind 无数据留空</t>
        </is>
      </c>
    </row>
    <row r="44">
      <c r="A44" s="68" t="n">
        <v>44986</v>
      </c>
      <c r="B44" t="inlineStr">
        <is>
          <t>全国</t>
        </is>
      </c>
      <c r="D44" t="n">
        <v>672.48</v>
      </c>
      <c r="K44" t="inlineStr">
        <is>
          <t>Wind（资讯商月度压榨）</t>
        </is>
      </c>
      <c r="M44" t="inlineStr">
        <is>
          <t>日历年月度口径；港口/油厂库存 Wind 无数据留空</t>
        </is>
      </c>
    </row>
    <row r="45">
      <c r="A45" s="68" t="n">
        <v>44958</v>
      </c>
      <c r="B45" t="inlineStr">
        <is>
          <t>全国</t>
        </is>
      </c>
      <c r="D45" t="n">
        <v>734.48</v>
      </c>
      <c r="K45" t="inlineStr">
        <is>
          <t>Wind（资讯商月度压榨）</t>
        </is>
      </c>
      <c r="M45" t="inlineStr">
        <is>
          <t>日历年月度口径；港口/油厂库存 Wind 无数据留空</t>
        </is>
      </c>
    </row>
    <row r="46">
      <c r="A46" s="68" t="n">
        <v>44927</v>
      </c>
      <c r="B46" t="inlineStr">
        <is>
          <t>全国</t>
        </is>
      </c>
      <c r="D46" t="n">
        <v>610.63</v>
      </c>
      <c r="K46" t="inlineStr">
        <is>
          <t>Wind（资讯商月度压榨）</t>
        </is>
      </c>
      <c r="M46" t="inlineStr">
        <is>
          <t>日历年月度口径；港口/油厂库存 Wind 无数据留空</t>
        </is>
      </c>
    </row>
    <row r="47">
      <c r="A47" s="68" t="n">
        <v>44896</v>
      </c>
      <c r="B47" t="inlineStr">
        <is>
          <t>全国</t>
        </is>
      </c>
      <c r="D47" t="n">
        <v>951.85</v>
      </c>
      <c r="K47" t="inlineStr">
        <is>
          <t>Wind（资讯商月度压榨）</t>
        </is>
      </c>
      <c r="M47" t="inlineStr">
        <is>
          <t>日历年月度口径；港口/油厂库存 Wind 无数据留空</t>
        </is>
      </c>
    </row>
    <row r="48">
      <c r="A48" s="68" t="n">
        <v>44866</v>
      </c>
      <c r="B48" t="inlineStr">
        <is>
          <t>全国</t>
        </is>
      </c>
      <c r="D48" t="n">
        <v>771.39</v>
      </c>
      <c r="K48" t="inlineStr">
        <is>
          <t>Wind（资讯商月度压榨）</t>
        </is>
      </c>
      <c r="M48" t="inlineStr">
        <is>
          <t>日历年月度口径；港口/油厂库存 Wind 无数据留空</t>
        </is>
      </c>
    </row>
    <row r="49">
      <c r="A49" s="68" t="n">
        <v>44835</v>
      </c>
      <c r="B49" t="inlineStr">
        <is>
          <t>全国</t>
        </is>
      </c>
      <c r="D49" t="n">
        <v>739.12</v>
      </c>
      <c r="K49" t="inlineStr">
        <is>
          <t>Wind（资讯商月度压榨）</t>
        </is>
      </c>
      <c r="M49" t="inlineStr">
        <is>
          <t>日历年月度口径；港口/油厂库存 Wind 无数据留空</t>
        </is>
      </c>
    </row>
    <row r="50">
      <c r="A50" s="68" t="n">
        <v>44805</v>
      </c>
      <c r="B50" t="inlineStr">
        <is>
          <t>全国</t>
        </is>
      </c>
      <c r="D50" t="n">
        <v>871.98</v>
      </c>
      <c r="K50" t="inlineStr">
        <is>
          <t>Wind（资讯商月度压榨）</t>
        </is>
      </c>
      <c r="M50" t="inlineStr">
        <is>
          <t>日历年月度口径；港口/油厂库存 Wind 无数据留空</t>
        </is>
      </c>
    </row>
    <row r="51">
      <c r="A51" s="68" t="n">
        <v>44774</v>
      </c>
      <c r="B51" t="inlineStr">
        <is>
          <t>全国</t>
        </is>
      </c>
      <c r="D51" t="n">
        <v>812.51</v>
      </c>
      <c r="K51" t="inlineStr">
        <is>
          <t>Wind（资讯商月度压榨）</t>
        </is>
      </c>
      <c r="M51" t="inlineStr">
        <is>
          <t>日历年月度口径；港口/油厂库存 Wind 无数据留空</t>
        </is>
      </c>
    </row>
    <row r="52">
      <c r="A52" s="68" t="n">
        <v>44743</v>
      </c>
      <c r="B52" t="inlineStr">
        <is>
          <t>全国</t>
        </is>
      </c>
      <c r="D52" t="n">
        <v>764.5599999999999</v>
      </c>
      <c r="K52" t="inlineStr">
        <is>
          <t>Wind（资讯商月度压榨）</t>
        </is>
      </c>
      <c r="M52" t="inlineStr">
        <is>
          <t>日历年月度口径；港口/油厂库存 Wind 无数据留空</t>
        </is>
      </c>
    </row>
    <row r="53">
      <c r="A53" s="68" t="n">
        <v>44713</v>
      </c>
      <c r="B53" t="inlineStr">
        <is>
          <t>全国</t>
        </is>
      </c>
      <c r="D53" t="n">
        <v>793.42</v>
      </c>
      <c r="K53" t="inlineStr">
        <is>
          <t>Wind（资讯商月度压榨）</t>
        </is>
      </c>
      <c r="M53" t="inlineStr">
        <is>
          <t>日历年月度口径；港口/油厂库存 Wind 无数据留空</t>
        </is>
      </c>
    </row>
    <row r="54">
      <c r="A54" s="68" t="n">
        <v>44682</v>
      </c>
      <c r="B54" t="inlineStr">
        <is>
          <t>全国</t>
        </is>
      </c>
      <c r="D54" t="n">
        <v>820.48</v>
      </c>
      <c r="K54" t="inlineStr">
        <is>
          <t>Wind（资讯商月度压榨）</t>
        </is>
      </c>
      <c r="M54" t="inlineStr">
        <is>
          <t>日历年月度口径；港口/油厂库存 Wind 无数据留空</t>
        </is>
      </c>
    </row>
    <row r="55">
      <c r="A55" s="68" t="n">
        <v>44652</v>
      </c>
      <c r="B55" t="inlineStr">
        <is>
          <t>全国</t>
        </is>
      </c>
      <c r="D55" t="n">
        <v>688.04</v>
      </c>
      <c r="K55" t="inlineStr">
        <is>
          <t>Wind（资讯商月度压榨）</t>
        </is>
      </c>
      <c r="M55" t="inlineStr">
        <is>
          <t>日历年月度口径；港口/油厂库存 Wind 无数据留空</t>
        </is>
      </c>
    </row>
    <row r="56">
      <c r="A56" s="68" t="n">
        <v>44621</v>
      </c>
      <c r="B56" t="inlineStr">
        <is>
          <t>全国</t>
        </is>
      </c>
      <c r="D56" t="n">
        <v>618.35</v>
      </c>
      <c r="K56" t="inlineStr">
        <is>
          <t>Wind（资讯商月度压榨）</t>
        </is>
      </c>
      <c r="M56" t="inlineStr">
        <is>
          <t>日历年月度口径；港口/油厂库存 Wind 无数据留空</t>
        </is>
      </c>
    </row>
    <row r="57">
      <c r="A57" s="68" t="n">
        <v>44593</v>
      </c>
      <c r="B57" t="inlineStr">
        <is>
          <t>全国</t>
        </is>
      </c>
      <c r="D57" t="n">
        <v>480.47</v>
      </c>
      <c r="K57" t="inlineStr">
        <is>
          <t>Wind（资讯商月度压榨）</t>
        </is>
      </c>
      <c r="M57" t="inlineStr">
        <is>
          <t>日历年月度口径；港口/油厂库存 Wind 无数据留空</t>
        </is>
      </c>
    </row>
    <row r="58">
      <c r="A58" s="68" t="n">
        <v>44562</v>
      </c>
      <c r="B58" t="inlineStr">
        <is>
          <t>全国</t>
        </is>
      </c>
      <c r="D58" t="n">
        <v>773.9</v>
      </c>
      <c r="K58" t="inlineStr">
        <is>
          <t>Wind（资讯商月度压榨）</t>
        </is>
      </c>
      <c r="M58" t="inlineStr">
        <is>
          <t>日历年月度口径；港口/油厂库存 Wind 无数据留空</t>
        </is>
      </c>
    </row>
    <row r="59">
      <c r="A59" s="68" t="n">
        <v>44531</v>
      </c>
      <c r="B59" t="inlineStr">
        <is>
          <t>全国</t>
        </is>
      </c>
      <c r="D59" t="n">
        <v>814.02</v>
      </c>
      <c r="K59" t="inlineStr">
        <is>
          <t>Wind（资讯商月度压榨）</t>
        </is>
      </c>
      <c r="M59" t="inlineStr">
        <is>
          <t>日历年月度口径；港口/油厂库存 Wind 无数据留空</t>
        </is>
      </c>
    </row>
    <row r="60">
      <c r="A60" s="68" t="n">
        <v>44501</v>
      </c>
      <c r="B60" t="inlineStr">
        <is>
          <t>全国</t>
        </is>
      </c>
      <c r="D60" t="n">
        <v>880.59</v>
      </c>
      <c r="K60" t="inlineStr">
        <is>
          <t>Wind（资讯商月度压榨）</t>
        </is>
      </c>
      <c r="M60" t="inlineStr">
        <is>
          <t>日历年月度口径；港口/油厂库存 Wind 无数据留空</t>
        </is>
      </c>
    </row>
    <row r="61">
      <c r="A61" s="68" t="n">
        <v>44470</v>
      </c>
      <c r="B61" t="inlineStr">
        <is>
          <t>全国</t>
        </is>
      </c>
      <c r="D61" t="n">
        <v>764.89</v>
      </c>
      <c r="K61" t="inlineStr">
        <is>
          <t>Wind（资讯商月度压榨）</t>
        </is>
      </c>
      <c r="M61" t="inlineStr">
        <is>
          <t>日历年月度口径；港口/油厂库存 Wind 无数据留空</t>
        </is>
      </c>
    </row>
    <row r="62">
      <c r="A62" s="68" t="n">
        <v>44440</v>
      </c>
      <c r="B62" t="inlineStr">
        <is>
          <t>全国</t>
        </is>
      </c>
      <c r="D62" t="n">
        <v>803.97</v>
      </c>
      <c r="K62" t="inlineStr">
        <is>
          <t>Wind（资讯商月度压榨）</t>
        </is>
      </c>
      <c r="M62" t="inlineStr">
        <is>
          <t>日历年月度口径；港口/油厂库存 Wind 无数据留空</t>
        </is>
      </c>
    </row>
    <row r="63">
      <c r="A63" s="68" t="n">
        <v>44409</v>
      </c>
      <c r="B63" t="inlineStr">
        <is>
          <t>全国</t>
        </is>
      </c>
      <c r="D63" t="n">
        <v>851.25</v>
      </c>
      <c r="K63" t="inlineStr">
        <is>
          <t>Wind（资讯商月度压榨）</t>
        </is>
      </c>
      <c r="M63" t="inlineStr">
        <is>
          <t>日历年月度口径；港口/油厂库存 Wind 无数据留空</t>
        </is>
      </c>
    </row>
    <row r="64">
      <c r="A64" s="68" t="n">
        <v>44378</v>
      </c>
      <c r="B64" t="inlineStr">
        <is>
          <t>全国</t>
        </is>
      </c>
      <c r="D64" t="n">
        <v>794.65</v>
      </c>
      <c r="K64" t="inlineStr">
        <is>
          <t>Wind（资讯商月度压榨）</t>
        </is>
      </c>
      <c r="M64" t="inlineStr">
        <is>
          <t>日历年月度口径；港口/油厂库存 Wind 无数据留空</t>
        </is>
      </c>
    </row>
    <row r="65">
      <c r="A65" s="68" t="n">
        <v>44348</v>
      </c>
      <c r="B65" t="inlineStr">
        <is>
          <t>全国</t>
        </is>
      </c>
      <c r="D65" t="n">
        <v>796.88</v>
      </c>
      <c r="K65" t="inlineStr">
        <is>
          <t>Wind（资讯商月度压榨）</t>
        </is>
      </c>
      <c r="M65" t="inlineStr">
        <is>
          <t>日历年月度口径；港口/油厂库存 Wind 无数据留空</t>
        </is>
      </c>
    </row>
    <row r="66">
      <c r="A66" s="68" t="n">
        <v>44317</v>
      </c>
      <c r="B66" t="inlineStr">
        <is>
          <t>全国</t>
        </is>
      </c>
      <c r="D66" t="n">
        <v>853.22</v>
      </c>
      <c r="K66" t="inlineStr">
        <is>
          <t>Wind（资讯商月度压榨）</t>
        </is>
      </c>
      <c r="M66" t="inlineStr">
        <is>
          <t>日历年月度口径；港口/油厂库存 Wind 无数据留空</t>
        </is>
      </c>
    </row>
    <row r="67">
      <c r="A67" s="68" t="n">
        <v>44287</v>
      </c>
      <c r="B67" t="inlineStr">
        <is>
          <t>全国</t>
        </is>
      </c>
      <c r="D67" t="n">
        <v>739.49</v>
      </c>
      <c r="K67" t="inlineStr">
        <is>
          <t>Wind（资讯商月度压榨）</t>
        </is>
      </c>
      <c r="M67" t="inlineStr">
        <is>
          <t>日历年月度口径；港口/油厂库存 Wind 无数据留空</t>
        </is>
      </c>
    </row>
    <row r="68">
      <c r="A68" s="68" t="n">
        <v>44256</v>
      </c>
      <c r="B68" t="inlineStr">
        <is>
          <t>全国</t>
        </is>
      </c>
      <c r="D68" t="n">
        <v>665.91</v>
      </c>
      <c r="K68" t="inlineStr">
        <is>
          <t>Wind（资讯商月度压榨）</t>
        </is>
      </c>
      <c r="M68" t="inlineStr">
        <is>
          <t>日历年月度口径；港口/油厂库存 Wind 无数据留空</t>
        </is>
      </c>
    </row>
    <row r="69">
      <c r="A69" s="68" t="n">
        <v>44228</v>
      </c>
      <c r="B69" t="inlineStr">
        <is>
          <t>全国</t>
        </is>
      </c>
      <c r="D69" t="n">
        <v>455.52</v>
      </c>
      <c r="K69" t="inlineStr">
        <is>
          <t>Wind（资讯商月度压榨）</t>
        </is>
      </c>
      <c r="M69" t="inlineStr">
        <is>
          <t>日历年月度口径；港口/油厂库存 Wind 无数据留空</t>
        </is>
      </c>
    </row>
    <row r="70">
      <c r="A70" s="68" t="n">
        <v>44197</v>
      </c>
      <c r="B70" t="inlineStr">
        <is>
          <t>全国</t>
        </is>
      </c>
      <c r="D70" t="n">
        <v>878.66</v>
      </c>
      <c r="K70" t="inlineStr">
        <is>
          <t>Wind（资讯商月度压榨）</t>
        </is>
      </c>
      <c r="M70" t="inlineStr">
        <is>
          <t>日历年月度口径；港口/油厂库存 Wind 无数据留空</t>
        </is>
      </c>
    </row>
    <row r="71">
      <c r="A71" s="68" t="n">
        <v>44166</v>
      </c>
      <c r="B71" t="inlineStr">
        <is>
          <t>全国</t>
        </is>
      </c>
      <c r="D71" t="n">
        <v>812.5700000000001</v>
      </c>
      <c r="K71" t="inlineStr">
        <is>
          <t>Wind（资讯商月度压榨）</t>
        </is>
      </c>
      <c r="M71" t="inlineStr">
        <is>
          <t>日历年月度口径；港口/油厂库存 Wind 无数据留空</t>
        </is>
      </c>
    </row>
    <row r="72">
      <c r="A72" s="68" t="n">
        <v>44136</v>
      </c>
      <c r="B72" t="inlineStr">
        <is>
          <t>全国</t>
        </is>
      </c>
      <c r="D72" t="n">
        <v>872.02</v>
      </c>
      <c r="K72" t="inlineStr">
        <is>
          <t>Wind（资讯商月度压榨）</t>
        </is>
      </c>
      <c r="M72" t="inlineStr">
        <is>
          <t>日历年月度口径；港口/油厂库存 Wind 无数据留空</t>
        </is>
      </c>
    </row>
    <row r="73">
      <c r="A73" s="68" t="n">
        <v>44105</v>
      </c>
      <c r="B73" t="inlineStr">
        <is>
          <t>全国</t>
        </is>
      </c>
      <c r="D73" t="n">
        <v>854.85</v>
      </c>
      <c r="K73" t="inlineStr">
        <is>
          <t>Wind（资讯商月度压榨）</t>
        </is>
      </c>
      <c r="M73" t="inlineStr">
        <is>
          <t>日历年月度口径；港口/油厂库存 Wind 无数据留空</t>
        </is>
      </c>
    </row>
    <row r="74">
      <c r="A74" s="68" t="n">
        <v>44075</v>
      </c>
      <c r="B74" t="inlineStr">
        <is>
          <t>全国</t>
        </is>
      </c>
      <c r="D74" t="n">
        <v>915.03</v>
      </c>
      <c r="K74" t="inlineStr">
        <is>
          <t>Wind（资讯商月度压榨）</t>
        </is>
      </c>
      <c r="M74" t="inlineStr">
        <is>
          <t>日历年月度口径；港口/油厂库存 Wind 无数据留空</t>
        </is>
      </c>
    </row>
    <row r="75">
      <c r="A75" s="68" t="n">
        <v>44044</v>
      </c>
      <c r="B75" t="inlineStr">
        <is>
          <t>全国</t>
        </is>
      </c>
      <c r="D75" t="n">
        <v>893.98</v>
      </c>
      <c r="K75" t="inlineStr">
        <is>
          <t>Wind（资讯商月度压榨）</t>
        </is>
      </c>
      <c r="M75" t="inlineStr">
        <is>
          <t>日历年月度口径；港口/油厂库存 Wind 无数据留空</t>
        </is>
      </c>
    </row>
    <row r="76">
      <c r="A76" s="68" t="n">
        <v>44013</v>
      </c>
      <c r="B76" t="inlineStr">
        <is>
          <t>全国</t>
        </is>
      </c>
      <c r="D76" t="n">
        <v>868.79</v>
      </c>
      <c r="K76" t="inlineStr">
        <is>
          <t>Wind（资讯商月度压榨）</t>
        </is>
      </c>
      <c r="M76" t="inlineStr">
        <is>
          <t>日历年月度口径；港口/油厂库存 Wind 无数据留空</t>
        </is>
      </c>
    </row>
    <row r="77">
      <c r="A77" s="68" t="n">
        <v>43983</v>
      </c>
      <c r="B77" t="inlineStr">
        <is>
          <t>全国</t>
        </is>
      </c>
      <c r="D77" t="n">
        <v>897.04</v>
      </c>
      <c r="K77" t="inlineStr">
        <is>
          <t>Wind（资讯商月度压榨）</t>
        </is>
      </c>
      <c r="M77" t="inlineStr">
        <is>
          <t>日历年月度口径；港口/油厂库存 Wind 无数据留空</t>
        </is>
      </c>
    </row>
    <row r="78">
      <c r="A78" s="68" t="n">
        <v>43952</v>
      </c>
      <c r="B78" t="inlineStr">
        <is>
          <t>全国</t>
        </is>
      </c>
      <c r="D78" t="n">
        <v>840.52</v>
      </c>
      <c r="K78" t="inlineStr">
        <is>
          <t>Wind（资讯商月度压榨）</t>
        </is>
      </c>
      <c r="M78" t="inlineStr">
        <is>
          <t>日历年月度口径；港口/油厂库存 Wind 无数据留空</t>
        </is>
      </c>
    </row>
  </sheetData>
  <mergeCells count="2">
    <mergeCell ref="A1:M2"/>
    <mergeCell ref="A3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24" customWidth="1" min="8" max="8"/>
  </cols>
  <sheetData>
    <row r="1">
      <c r="A1" s="3" t="inlineStr">
        <is>
          <t>饲料产量与结构｜月度</t>
        </is>
      </c>
    </row>
    <row r="2"/>
    <row r="3">
      <c r="A3" s="41" t="inlineStr">
        <is>
          <t>首选来源：中国饲料工业协会　https://www.chinafeed.org.cn/</t>
        </is>
      </c>
    </row>
    <row r="4" ht="34" customHeight="1">
      <c r="A4" s="6" t="inlineStr">
        <is>
          <t>月份
必填</t>
        </is>
      </c>
      <c r="B4" s="6" t="inlineStr">
        <is>
          <t>饲料品种
必填</t>
        </is>
      </c>
      <c r="C4" s="6" t="inlineStr">
        <is>
          <t>饲料产量
必填</t>
        </is>
      </c>
      <c r="D4" s="6" t="inlineStr">
        <is>
          <t>同比增速
选填</t>
        </is>
      </c>
      <c r="E4" s="6" t="inlineStr">
        <is>
          <t>豆粕添加率假设
选填</t>
        </is>
      </c>
      <c r="F4" s="6" t="inlineStr">
        <is>
          <t>估算豆粕需求
自动</t>
        </is>
      </c>
      <c r="G4" s="6" t="inlineStr">
        <is>
          <t>来源网址
必填</t>
        </is>
      </c>
      <c r="H4" s="6" t="inlineStr">
        <is>
          <t>备注
选填</t>
        </is>
      </c>
    </row>
    <row r="5" ht="22" customHeight="1">
      <c r="A5" s="64" t="n">
        <v>46174</v>
      </c>
      <c r="B5" s="45" t="inlineStr">
        <is>
          <t>饲料总产量</t>
        </is>
      </c>
      <c r="C5" s="60" t="n">
        <v>2922.4</v>
      </c>
      <c r="D5" s="69" t="n">
        <v>-0.0052</v>
      </c>
      <c r="E5" s="69" t="n"/>
      <c r="F5" s="65">
        <f>IF(OR(C5="",E5=""),"",C5*E5)</f>
        <v/>
      </c>
      <c r="G5" s="45" t="inlineStr">
        <is>
          <t>https://data.stats.gov.cn/</t>
        </is>
      </c>
      <c r="H5" s="45" t="inlineStr">
        <is>
          <t>Wind 数据终端，2026-08-01 采集；分品种产量 Wind 无，添加率假设留空待填</t>
        </is>
      </c>
    </row>
    <row r="6" ht="22" customHeight="1">
      <c r="A6" s="66" t="n">
        <v>46143</v>
      </c>
      <c r="B6" s="46" t="inlineStr">
        <is>
          <t>饲料总产量</t>
        </is>
      </c>
      <c r="C6" s="62" t="n">
        <v>2766.9</v>
      </c>
      <c r="D6" s="70" t="n">
        <v>0.0017</v>
      </c>
      <c r="E6" s="70" t="n"/>
      <c r="F6" s="67">
        <f>IF(OR(C6="",E6=""),"",C6*E6)</f>
        <v/>
      </c>
      <c r="G6" s="46" t="inlineStr">
        <is>
          <t>https://data.stats.gov.cn/</t>
        </is>
      </c>
      <c r="H6" s="46" t="inlineStr">
        <is>
          <t>Wind 数据终端，2026-08-01 采集；分品种产量 Wind 无，添加率假设留空待填</t>
        </is>
      </c>
    </row>
    <row r="7" ht="22" customHeight="1">
      <c r="A7" s="66" t="n">
        <v>46113</v>
      </c>
      <c r="B7" s="46" t="inlineStr">
        <is>
          <t>饲料总产量</t>
        </is>
      </c>
      <c r="C7" s="62" t="n">
        <v>2743.1</v>
      </c>
      <c r="D7" s="70" t="n">
        <v>0.0297</v>
      </c>
      <c r="E7" s="70" t="n"/>
      <c r="F7" s="67">
        <f>IF(OR(C7="",E7=""),"",C7*E7)</f>
        <v/>
      </c>
      <c r="G7" s="46" t="inlineStr">
        <is>
          <t>https://data.stats.gov.cn/</t>
        </is>
      </c>
      <c r="H7" s="46" t="inlineStr">
        <is>
          <t>Wind 数据终端，2026-08-01 采集；分品种产量 Wind 无，添加率假设留空待填</t>
        </is>
      </c>
    </row>
    <row r="8" ht="22" customHeight="1">
      <c r="A8" s="66" t="n">
        <v>46082</v>
      </c>
      <c r="B8" s="46" t="inlineStr">
        <is>
          <t>饲料总产量</t>
        </is>
      </c>
      <c r="C8" s="62" t="n">
        <v>3063</v>
      </c>
      <c r="D8" s="70" t="n">
        <v>0.1029</v>
      </c>
      <c r="E8" s="70" t="n"/>
      <c r="F8" s="67">
        <f>IF(OR(C8="",E8=""),"",C8*E8)</f>
        <v/>
      </c>
      <c r="G8" s="46" t="inlineStr">
        <is>
          <t>https://data.stats.gov.cn/</t>
        </is>
      </c>
      <c r="H8" s="46" t="inlineStr">
        <is>
          <t>Wind 数据终端，2026-08-01 采集；分品种产量 Wind 无，添加率假设留空待填</t>
        </is>
      </c>
    </row>
    <row r="9" ht="22" customHeight="1">
      <c r="A9" s="66" t="n">
        <v>45992</v>
      </c>
      <c r="B9" s="46" t="inlineStr">
        <is>
          <t>饲料总产量</t>
        </is>
      </c>
      <c r="C9" s="62" t="n">
        <v>3008.6</v>
      </c>
      <c r="D9" s="70" t="n">
        <v>0.058</v>
      </c>
      <c r="E9" s="70" t="n"/>
      <c r="F9" s="67">
        <f>IF(OR(C9="",E9=""),"",C9*E9)</f>
        <v/>
      </c>
      <c r="G9" s="46" t="inlineStr">
        <is>
          <t>https://data.stats.gov.cn/</t>
        </is>
      </c>
      <c r="H9" s="46" t="inlineStr">
        <is>
          <t>Wind 数据终端，2026-08-01 采集；分品种产量 Wind 无，添加率假设留空待填</t>
        </is>
      </c>
    </row>
    <row r="10" ht="22" customHeight="1">
      <c r="A10" s="66" t="n">
        <v>45962</v>
      </c>
      <c r="B10" s="46" t="inlineStr">
        <is>
          <t>饲料总产量</t>
        </is>
      </c>
      <c r="C10" s="62" t="n">
        <v>2977.9</v>
      </c>
      <c r="D10" s="70" t="n">
        <v>0.0497</v>
      </c>
      <c r="E10" s="70" t="n"/>
      <c r="F10" s="67">
        <f>IF(OR(C10="",E10=""),"",C10*E10)</f>
        <v/>
      </c>
      <c r="G10" s="46" t="inlineStr">
        <is>
          <t>https://data.stats.gov.cn/</t>
        </is>
      </c>
      <c r="H10" s="46" t="inlineStr">
        <is>
          <t>Wind 数据终端，2026-08-01 采集；分品种产量 Wind 无，添加率假设留空待填</t>
        </is>
      </c>
    </row>
    <row r="11" ht="22" customHeight="1">
      <c r="A11" s="66" t="n">
        <v>45931</v>
      </c>
      <c r="B11" s="46" t="inlineStr">
        <is>
          <t>饲料总产量</t>
        </is>
      </c>
      <c r="C11" s="62" t="n">
        <v>2957</v>
      </c>
      <c r="D11" s="70" t="n">
        <v>0.0639</v>
      </c>
      <c r="E11" s="70" t="n"/>
      <c r="F11" s="67">
        <f>IF(OR(C11="",E11=""),"",C11*E11)</f>
        <v/>
      </c>
      <c r="G11" s="46" t="inlineStr">
        <is>
          <t>https://data.stats.gov.cn/</t>
        </is>
      </c>
      <c r="H11" s="46" t="inlineStr">
        <is>
          <t>Wind 数据终端，2026-08-01 采集；分品种产量 Wind 无，添加率假设留空待填</t>
        </is>
      </c>
    </row>
    <row r="12" ht="22" customHeight="1">
      <c r="A12" s="66" t="n">
        <v>45901</v>
      </c>
      <c r="B12" s="46" t="inlineStr">
        <is>
          <t>饲料总产量</t>
        </is>
      </c>
      <c r="C12" s="62" t="n">
        <v>3128.7</v>
      </c>
      <c r="D12" s="70" t="n">
        <v>0.07679999999999999</v>
      </c>
      <c r="E12" s="70" t="n"/>
      <c r="F12" s="67">
        <f>IF(OR(C12="",E12=""),"",C12*E12)</f>
        <v/>
      </c>
      <c r="G12" s="46" t="inlineStr">
        <is>
          <t>https://data.stats.gov.cn/</t>
        </is>
      </c>
      <c r="H12" s="46" t="inlineStr">
        <is>
          <t>Wind 数据终端，2026-08-01 采集；分品种产量 Wind 无，添加率假设留空待填</t>
        </is>
      </c>
    </row>
    <row r="13" ht="22" customHeight="1">
      <c r="A13" s="66" t="n">
        <v>45870</v>
      </c>
      <c r="B13" s="46" t="inlineStr">
        <is>
          <t>饲料总产量</t>
        </is>
      </c>
      <c r="C13" s="62" t="n">
        <v>2927.2</v>
      </c>
      <c r="D13" s="70" t="n">
        <v>0.0497</v>
      </c>
      <c r="E13" s="70" t="n"/>
      <c r="F13" s="67">
        <f>IF(OR(C13="",E13=""),"",C13*E13)</f>
        <v/>
      </c>
      <c r="G13" s="46" t="inlineStr">
        <is>
          <t>https://data.stats.gov.cn/</t>
        </is>
      </c>
      <c r="H13" s="46" t="inlineStr">
        <is>
          <t>Wind 数据终端，2026-08-01 采集；分品种产量 Wind 无，添加率假设留空待填</t>
        </is>
      </c>
    </row>
    <row r="14" ht="22" customHeight="1">
      <c r="A14" s="66" t="n">
        <v>45839</v>
      </c>
      <c r="B14" s="46" t="inlineStr">
        <is>
          <t>饲料总产量</t>
        </is>
      </c>
      <c r="C14" s="62" t="n">
        <v>2827.3</v>
      </c>
      <c r="D14" s="70" t="n">
        <v>0.0595</v>
      </c>
      <c r="E14" s="70" t="n"/>
      <c r="F14" s="67">
        <f>IF(OR(C14="",E14=""),"",C14*E14)</f>
        <v/>
      </c>
      <c r="G14" s="46" t="inlineStr">
        <is>
          <t>https://data.stats.gov.cn/</t>
        </is>
      </c>
      <c r="H14" s="46" t="inlineStr">
        <is>
          <t>Wind 数据终端，2026-08-01 采集；分品种产量 Wind 无，添加率假设留空待填</t>
        </is>
      </c>
    </row>
    <row r="15" ht="22" customHeight="1">
      <c r="A15" s="66" t="n">
        <v>45809</v>
      </c>
      <c r="B15" s="46" t="inlineStr">
        <is>
          <t>饲料总产量</t>
        </is>
      </c>
      <c r="C15" s="62" t="n">
        <v>2937.7</v>
      </c>
      <c r="D15" s="70" t="n">
        <v>0.081</v>
      </c>
      <c r="E15" s="70" t="n"/>
      <c r="F15" s="67">
        <f>IF(OR(C15="",E15=""),"",C15*E15)</f>
        <v/>
      </c>
      <c r="G15" s="46" t="inlineStr">
        <is>
          <t>https://data.stats.gov.cn/</t>
        </is>
      </c>
      <c r="H15" s="46" t="inlineStr">
        <is>
          <t>Wind 数据终端，2026-08-01 采集；分品种产量 Wind 无，添加率假设留空待填</t>
        </is>
      </c>
    </row>
    <row r="16" ht="22" customHeight="1">
      <c r="A16" s="66" t="n">
        <v>45778</v>
      </c>
      <c r="B16" s="46" t="inlineStr">
        <is>
          <t>饲料总产量</t>
        </is>
      </c>
      <c r="C16" s="62" t="n">
        <v>2762.1</v>
      </c>
      <c r="D16" s="70" t="n">
        <v>0.07489999999999999</v>
      </c>
      <c r="E16" s="70" t="n"/>
      <c r="F16" s="67">
        <f>IF(OR(C16="",E16=""),"",C16*E16)</f>
        <v/>
      </c>
      <c r="G16" s="46" t="inlineStr">
        <is>
          <t>https://data.stats.gov.cn/</t>
        </is>
      </c>
      <c r="H16" s="46" t="inlineStr">
        <is>
          <t>Wind 数据终端，2026-08-01 采集；分品种产量 Wind 无，添加率假设留空待填</t>
        </is>
      </c>
    </row>
    <row r="17" ht="22" customHeight="1">
      <c r="A17" s="66" t="n">
        <v>45748</v>
      </c>
      <c r="B17" s="46" t="inlineStr">
        <is>
          <t>饲料总产量</t>
        </is>
      </c>
      <c r="C17" s="62" t="n">
        <v>2664</v>
      </c>
      <c r="D17" s="70" t="n">
        <v>0.0667</v>
      </c>
      <c r="E17" s="70" t="n"/>
      <c r="F17" s="67">
        <f>IF(OR(C17="",E17=""),"",C17*E17)</f>
        <v/>
      </c>
      <c r="G17" s="46" t="inlineStr">
        <is>
          <t>https://data.stats.gov.cn/</t>
        </is>
      </c>
      <c r="H17" s="46" t="inlineStr">
        <is>
          <t>Wind 数据终端，2026-08-01 采集；分品种产量 Wind 无，添加率假设留空待填</t>
        </is>
      </c>
    </row>
    <row r="18" ht="22" customHeight="1">
      <c r="A18" s="66" t="n">
        <v>45717</v>
      </c>
      <c r="B18" s="46" t="inlineStr">
        <is>
          <t>饲料总产量</t>
        </is>
      </c>
      <c r="C18" s="62" t="n">
        <v>2777.2</v>
      </c>
      <c r="D18" s="70" t="n">
        <v>0.0542</v>
      </c>
      <c r="E18" s="70" t="n"/>
      <c r="F18" s="67">
        <f>IF(OR(C18="",E18=""),"",C18*E18)</f>
        <v/>
      </c>
      <c r="G18" s="46" t="inlineStr">
        <is>
          <t>https://data.stats.gov.cn/</t>
        </is>
      </c>
      <c r="H18" s="46" t="inlineStr">
        <is>
          <t>Wind 数据终端，2026-08-01 采集；分品种产量 Wind 无，添加率假设留空待填</t>
        </is>
      </c>
    </row>
    <row r="19" ht="22" customHeight="1">
      <c r="A19" s="66" t="n">
        <v>45627</v>
      </c>
      <c r="B19" s="46" t="inlineStr">
        <is>
          <t>饲料总产量</t>
        </is>
      </c>
      <c r="C19" s="62" t="n">
        <v>2843.6</v>
      </c>
      <c r="D19" s="70" t="n">
        <v>0.0525</v>
      </c>
      <c r="E19" s="70" t="n"/>
      <c r="F19" s="67">
        <f>IF(OR(C19="",E19=""),"",C19*E19)</f>
        <v/>
      </c>
      <c r="G19" s="46" t="inlineStr">
        <is>
          <t>https://data.stats.gov.cn/</t>
        </is>
      </c>
      <c r="H19" s="46" t="inlineStr">
        <is>
          <t>Wind 数据终端，2026-08-01 采集；分品种产量 Wind 无，添加率假设留空待填</t>
        </is>
      </c>
    </row>
    <row r="20" ht="22" customHeight="1">
      <c r="A20" s="66" t="n">
        <v>45597</v>
      </c>
      <c r="B20" s="46" t="inlineStr">
        <is>
          <t>饲料总产量</t>
        </is>
      </c>
      <c r="C20" s="62" t="n">
        <v>2836.8</v>
      </c>
      <c r="D20" s="70" t="n">
        <v>0.0186</v>
      </c>
      <c r="E20" s="70" t="n"/>
      <c r="F20" s="67">
        <f>IF(OR(C20="",E20=""),"",C20*E20)</f>
        <v/>
      </c>
      <c r="G20" s="46" t="inlineStr">
        <is>
          <t>https://data.stats.gov.cn/</t>
        </is>
      </c>
      <c r="H20" s="46" t="inlineStr">
        <is>
          <t>Wind 数据终端，2026-08-01 采集；分品种产量 Wind 无，添加率假设留空待填</t>
        </is>
      </c>
    </row>
    <row r="21" ht="22" customHeight="1">
      <c r="A21" s="66" t="n">
        <v>45566</v>
      </c>
      <c r="B21" s="46" t="inlineStr">
        <is>
          <t>饲料总产量</t>
        </is>
      </c>
      <c r="C21" s="62" t="n">
        <v>2779.5</v>
      </c>
      <c r="D21" s="70" t="n">
        <v>-0.007900000000000001</v>
      </c>
      <c r="E21" s="70" t="n"/>
      <c r="F21" s="67">
        <f>IF(OR(C21="",E21=""),"",C21*E21)</f>
        <v/>
      </c>
      <c r="G21" s="46" t="inlineStr">
        <is>
          <t>https://data.stats.gov.cn/</t>
        </is>
      </c>
      <c r="H21" s="46" t="inlineStr">
        <is>
          <t>Wind 数据终端，2026-08-01 采集；分品种产量 Wind 无，添加率假设留空待填</t>
        </is>
      </c>
    </row>
    <row r="22" ht="22" customHeight="1">
      <c r="A22" s="66" t="n">
        <v>45536</v>
      </c>
      <c r="B22" s="46" t="inlineStr">
        <is>
          <t>饲料总产量</t>
        </is>
      </c>
      <c r="C22" s="62" t="n">
        <v>2905.6</v>
      </c>
      <c r="D22" s="70" t="n">
        <v>0.0245</v>
      </c>
      <c r="E22" s="70" t="n"/>
      <c r="F22" s="67">
        <f>IF(OR(C22="",E22=""),"",C22*E22)</f>
        <v/>
      </c>
      <c r="G22" s="46" t="inlineStr">
        <is>
          <t>https://data.stats.gov.cn/</t>
        </is>
      </c>
      <c r="H22" s="46" t="inlineStr">
        <is>
          <t>Wind 数据终端，2026-08-01 采集；分品种产量 Wind 无，添加率假设留空待填</t>
        </is>
      </c>
    </row>
    <row r="23" ht="22" customHeight="1">
      <c r="A23" s="66" t="n">
        <v>45505</v>
      </c>
      <c r="B23" s="46" t="inlineStr">
        <is>
          <t>饲料总产量</t>
        </is>
      </c>
      <c r="C23" s="62" t="n">
        <v>2788.5</v>
      </c>
      <c r="D23" s="70" t="n">
        <v>0.0137</v>
      </c>
      <c r="E23" s="70" t="n"/>
      <c r="F23" s="67">
        <f>IF(OR(C23="",E23=""),"",C23*E23)</f>
        <v/>
      </c>
      <c r="G23" s="46" t="inlineStr">
        <is>
          <t>https://data.stats.gov.cn/</t>
        </is>
      </c>
      <c r="H23" s="46" t="inlineStr">
        <is>
          <t>Wind 数据终端，2026-08-01 采集；分品种产量 Wind 无，添加率假设留空待填</t>
        </is>
      </c>
    </row>
    <row r="24" ht="22" customHeight="1">
      <c r="A24" s="66" t="n">
        <v>45474</v>
      </c>
      <c r="B24" s="46" t="inlineStr">
        <is>
          <t>饲料总产量</t>
        </is>
      </c>
      <c r="C24" s="62" t="n">
        <v>2668.6</v>
      </c>
      <c r="D24" s="70" t="n">
        <v>0.0024</v>
      </c>
      <c r="E24" s="70" t="n"/>
      <c r="F24" s="67">
        <f>IF(OR(C24="",E24=""),"",C24*E24)</f>
        <v/>
      </c>
      <c r="G24" s="46" t="inlineStr">
        <is>
          <t>https://data.stats.gov.cn/</t>
        </is>
      </c>
      <c r="H24" s="46" t="inlineStr">
        <is>
          <t>Wind 数据终端，2026-08-01 采集；分品种产量 Wind 无，添加率假设留空待填</t>
        </is>
      </c>
    </row>
    <row r="25">
      <c r="A25" s="68" t="n">
        <v>45444</v>
      </c>
      <c r="B25" t="inlineStr">
        <is>
          <t>饲料总产量</t>
        </is>
      </c>
      <c r="C25" t="n">
        <v>2717.6</v>
      </c>
      <c r="D25" s="71" t="n">
        <v>0.001</v>
      </c>
      <c r="G25" t="inlineStr">
        <is>
          <t>https://data.stats.gov.cn/</t>
        </is>
      </c>
      <c r="H25" t="inlineStr">
        <is>
          <t>Wind 数据终端，2026-08-01 采集；分品种产量 Wind 无，添加率假设留空待填</t>
        </is>
      </c>
    </row>
    <row r="26">
      <c r="A26" s="68" t="n">
        <v>45413</v>
      </c>
      <c r="B26" t="inlineStr">
        <is>
          <t>饲料总产量</t>
        </is>
      </c>
      <c r="C26" t="n">
        <v>2569.6</v>
      </c>
      <c r="D26" s="71" t="n">
        <v>-0.0036</v>
      </c>
      <c r="G26" t="inlineStr">
        <is>
          <t>https://data.stats.gov.cn/</t>
        </is>
      </c>
      <c r="H26" t="inlineStr">
        <is>
          <t>Wind 数据终端，2026-08-01 采集；分品种产量 Wind 无，添加率假设留空待填</t>
        </is>
      </c>
    </row>
    <row r="27">
      <c r="A27" s="68" t="n">
        <v>45383</v>
      </c>
      <c r="B27" t="inlineStr">
        <is>
          <t>饲料总产量</t>
        </is>
      </c>
      <c r="C27" t="n">
        <v>2497.4</v>
      </c>
      <c r="D27" s="71" t="n">
        <v>-0.0089</v>
      </c>
      <c r="G27" t="inlineStr">
        <is>
          <t>https://data.stats.gov.cn/</t>
        </is>
      </c>
      <c r="H27" t="inlineStr">
        <is>
          <t>Wind 数据终端，2026-08-01 采集；分品种产量 Wind 无，添加率假设留空待填</t>
        </is>
      </c>
    </row>
    <row r="28">
      <c r="A28" s="68" t="n">
        <v>45352</v>
      </c>
      <c r="B28" t="inlineStr">
        <is>
          <t>饲料总产量</t>
        </is>
      </c>
      <c r="C28" t="n">
        <v>2634.4</v>
      </c>
      <c r="D28" s="71" t="n">
        <v>-0.0173</v>
      </c>
      <c r="G28" t="inlineStr">
        <is>
          <t>https://data.stats.gov.cn/</t>
        </is>
      </c>
      <c r="H28" t="inlineStr">
        <is>
          <t>Wind 数据终端，2026-08-01 采集；分品种产量 Wind 无，添加率假设留空待填</t>
        </is>
      </c>
    </row>
    <row r="29">
      <c r="A29" s="68" t="n">
        <v>45261</v>
      </c>
      <c r="B29" t="inlineStr">
        <is>
          <t>饲料总产量</t>
        </is>
      </c>
      <c r="C29" t="n">
        <v>2701.7</v>
      </c>
      <c r="D29" s="71" t="n">
        <v>-0.0743</v>
      </c>
      <c r="G29" t="inlineStr">
        <is>
          <t>https://data.stats.gov.cn/</t>
        </is>
      </c>
      <c r="H29" t="inlineStr">
        <is>
          <t>Wind 数据终端，2026-08-01 采集；分品种产量 Wind 无，添加率假设留空待填</t>
        </is>
      </c>
    </row>
    <row r="30">
      <c r="A30" s="68" t="n">
        <v>45231</v>
      </c>
      <c r="B30" t="inlineStr">
        <is>
          <t>饲料总产量</t>
        </is>
      </c>
      <c r="C30" t="n">
        <v>2784.9</v>
      </c>
      <c r="D30" s="71" t="n">
        <v>-0.0251</v>
      </c>
      <c r="G30" t="inlineStr">
        <is>
          <t>https://data.stats.gov.cn/</t>
        </is>
      </c>
      <c r="H30" t="inlineStr">
        <is>
          <t>Wind 数据终端，2026-08-01 采集；分品种产量 Wind 无，添加率假设留空待填</t>
        </is>
      </c>
    </row>
    <row r="31">
      <c r="A31" s="68" t="n">
        <v>45200</v>
      </c>
      <c r="B31" t="inlineStr">
        <is>
          <t>饲料总产量</t>
        </is>
      </c>
      <c r="C31" t="n">
        <v>2801.7</v>
      </c>
      <c r="D31" s="71" t="n">
        <v>-0.0204</v>
      </c>
      <c r="G31" t="inlineStr">
        <is>
          <t>https://data.stats.gov.cn/</t>
        </is>
      </c>
      <c r="H31" t="inlineStr">
        <is>
          <t>Wind 数据终端，2026-08-01 采集；分品种产量 Wind 无，添加率假设留空待填</t>
        </is>
      </c>
    </row>
    <row r="32">
      <c r="A32" s="68" t="n">
        <v>45170</v>
      </c>
      <c r="B32" t="inlineStr">
        <is>
          <t>饲料总产量</t>
        </is>
      </c>
      <c r="C32" t="n">
        <v>2836.2</v>
      </c>
      <c r="D32" s="71" t="n">
        <v>-0.0535</v>
      </c>
      <c r="G32" t="inlineStr">
        <is>
          <t>https://data.stats.gov.cn/</t>
        </is>
      </c>
      <c r="H32" t="inlineStr">
        <is>
          <t>Wind 数据终端，2026-08-01 采集；分品种产量 Wind 无，添加率假设留空待填</t>
        </is>
      </c>
    </row>
    <row r="33">
      <c r="A33" s="68" t="n">
        <v>45139</v>
      </c>
      <c r="B33" t="inlineStr">
        <is>
          <t>饲料总产量</t>
        </is>
      </c>
      <c r="C33" t="n">
        <v>2750.9</v>
      </c>
      <c r="D33" s="71" t="n">
        <v>0.0222</v>
      </c>
      <c r="G33" t="inlineStr">
        <is>
          <t>https://data.stats.gov.cn/</t>
        </is>
      </c>
      <c r="H33" t="inlineStr">
        <is>
          <t>Wind 数据终端，2026-08-01 采集；分品种产量 Wind 无，添加率假设留空待填</t>
        </is>
      </c>
    </row>
    <row r="34">
      <c r="A34" s="68" t="n">
        <v>45108</v>
      </c>
      <c r="B34" t="inlineStr">
        <is>
          <t>饲料总产量</t>
        </is>
      </c>
      <c r="C34" t="n">
        <v>2662.1</v>
      </c>
      <c r="D34" s="71" t="n">
        <v>0.0192</v>
      </c>
      <c r="G34" t="inlineStr">
        <is>
          <t>https://data.stats.gov.cn/</t>
        </is>
      </c>
      <c r="H34" t="inlineStr">
        <is>
          <t>Wind 数据终端，2026-08-01 采集；分品种产量 Wind 无，添加率假设留空待填</t>
        </is>
      </c>
    </row>
    <row r="35">
      <c r="A35" s="68" t="n">
        <v>45078</v>
      </c>
      <c r="B35" t="inlineStr">
        <is>
          <t>饲料总产量</t>
        </is>
      </c>
      <c r="C35" t="n">
        <v>2714.9</v>
      </c>
      <c r="D35" s="71" t="n">
        <v>0.0094</v>
      </c>
      <c r="G35" t="inlineStr">
        <is>
          <t>https://data.stats.gov.cn/</t>
        </is>
      </c>
      <c r="H35" t="inlineStr">
        <is>
          <t>Wind 数据终端，2026-08-01 采集；分品种产量 Wind 无，添加率假设留空待填</t>
        </is>
      </c>
    </row>
    <row r="36">
      <c r="A36" s="68" t="n">
        <v>45047</v>
      </c>
      <c r="B36" t="inlineStr">
        <is>
          <t>饲料总产量</t>
        </is>
      </c>
      <c r="C36" t="n">
        <v>2579</v>
      </c>
      <c r="D36" s="71" t="n">
        <v>0.0033</v>
      </c>
      <c r="G36" t="inlineStr">
        <is>
          <t>https://data.stats.gov.cn/</t>
        </is>
      </c>
      <c r="H36" t="inlineStr">
        <is>
          <t>Wind 数据终端，2026-08-01 采集；分品种产量 Wind 无，添加率假设留空待填</t>
        </is>
      </c>
    </row>
    <row r="37">
      <c r="A37" s="68" t="n">
        <v>45017</v>
      </c>
      <c r="B37" t="inlineStr">
        <is>
          <t>饲料总产量</t>
        </is>
      </c>
      <c r="C37" t="n">
        <v>2519.8</v>
      </c>
      <c r="D37" s="71" t="n">
        <v>0.0465</v>
      </c>
      <c r="G37" t="inlineStr">
        <is>
          <t>https://data.stats.gov.cn/</t>
        </is>
      </c>
      <c r="H37" t="inlineStr">
        <is>
          <t>Wind 数据终端，2026-08-01 采集；分品种产量 Wind 无，添加率假设留空待填</t>
        </is>
      </c>
    </row>
    <row r="38">
      <c r="A38" s="68" t="n">
        <v>44986</v>
      </c>
      <c r="B38" t="inlineStr">
        <is>
          <t>饲料总产量</t>
        </is>
      </c>
      <c r="C38" t="n">
        <v>2680.9</v>
      </c>
      <c r="D38" s="71" t="n">
        <v>0.0245</v>
      </c>
      <c r="G38" t="inlineStr">
        <is>
          <t>https://data.stats.gov.cn/</t>
        </is>
      </c>
      <c r="H38" t="inlineStr">
        <is>
          <t>Wind 数据终端，2026-08-01 采集；分品种产量 Wind 无，添加率假设留空待填</t>
        </is>
      </c>
    </row>
    <row r="39">
      <c r="A39" s="68" t="n">
        <v>44896</v>
      </c>
      <c r="B39" t="inlineStr">
        <is>
          <t>饲料总产量</t>
        </is>
      </c>
      <c r="C39" t="n">
        <v>2918.7</v>
      </c>
      <c r="D39" s="71" t="n">
        <v>0.0206</v>
      </c>
      <c r="G39" t="inlineStr">
        <is>
          <t>https://data.stats.gov.cn/</t>
        </is>
      </c>
      <c r="H39" t="inlineStr">
        <is>
          <t>Wind 数据终端，2026-08-01 采集；分品种产量 Wind 无，添加率假设留空待填</t>
        </is>
      </c>
    </row>
    <row r="40">
      <c r="A40" s="68" t="n">
        <v>44866</v>
      </c>
      <c r="B40" t="inlineStr">
        <is>
          <t>饲料总产量</t>
        </is>
      </c>
      <c r="C40" t="n">
        <v>2856.5</v>
      </c>
      <c r="D40" s="71" t="n">
        <v>0.0066</v>
      </c>
      <c r="G40" t="inlineStr">
        <is>
          <t>https://data.stats.gov.cn/</t>
        </is>
      </c>
      <c r="H40" t="inlineStr">
        <is>
          <t>Wind 数据终端，2026-08-01 采集；分品种产量 Wind 无，添加率假设留空待填</t>
        </is>
      </c>
    </row>
    <row r="41">
      <c r="A41" s="68" t="n">
        <v>44835</v>
      </c>
      <c r="B41" t="inlineStr">
        <is>
          <t>饲料总产量</t>
        </is>
      </c>
      <c r="C41" t="n">
        <v>2859.9</v>
      </c>
      <c r="D41" s="71" t="n">
        <v>0.0228</v>
      </c>
      <c r="G41" t="inlineStr">
        <is>
          <t>https://data.stats.gov.cn/</t>
        </is>
      </c>
      <c r="H41" t="inlineStr">
        <is>
          <t>Wind 数据终端，2026-08-01 采集；分品种产量 Wind 无，添加率假设留空待填</t>
        </is>
      </c>
    </row>
    <row r="42">
      <c r="A42" s="68" t="n">
        <v>44805</v>
      </c>
      <c r="B42" t="inlineStr">
        <is>
          <t>饲料总产量</t>
        </is>
      </c>
      <c r="C42" t="n">
        <v>2996.5</v>
      </c>
      <c r="D42" s="71" t="n">
        <v>0.0897</v>
      </c>
      <c r="G42" t="inlineStr">
        <is>
          <t>https://data.stats.gov.cn/</t>
        </is>
      </c>
      <c r="H42" t="inlineStr">
        <is>
          <t>Wind 数据终端，2026-08-01 采集；分品种产量 Wind 无，添加率假设留空待填</t>
        </is>
      </c>
    </row>
    <row r="43">
      <c r="A43" s="68" t="n">
        <v>44774</v>
      </c>
      <c r="B43" t="inlineStr">
        <is>
          <t>饲料总产量</t>
        </is>
      </c>
      <c r="C43" t="n">
        <v>2691.2</v>
      </c>
      <c r="D43" s="71" t="n">
        <v>-0.0587</v>
      </c>
      <c r="G43" t="inlineStr">
        <is>
          <t>https://data.stats.gov.cn/</t>
        </is>
      </c>
      <c r="H43" t="inlineStr">
        <is>
          <t>Wind 数据终端，2026-08-01 采集；分品种产量 Wind 无，添加率假设留空待填</t>
        </is>
      </c>
    </row>
    <row r="44">
      <c r="A44" s="68" t="n">
        <v>44743</v>
      </c>
      <c r="B44" t="inlineStr">
        <is>
          <t>饲料总产量</t>
        </is>
      </c>
      <c r="C44" t="n">
        <v>2612</v>
      </c>
      <c r="D44" s="71" t="n">
        <v>-0.0596</v>
      </c>
      <c r="G44" t="inlineStr">
        <is>
          <t>https://data.stats.gov.cn/</t>
        </is>
      </c>
      <c r="H44" t="inlineStr">
        <is>
          <t>Wind 数据终端，2026-08-01 采集；分品种产量 Wind 无，添加率假设留空待填</t>
        </is>
      </c>
    </row>
    <row r="45">
      <c r="A45" s="68" t="n">
        <v>44713</v>
      </c>
      <c r="B45" t="inlineStr">
        <is>
          <t>饲料总产量</t>
        </is>
      </c>
      <c r="C45" t="n">
        <v>2689.6</v>
      </c>
      <c r="D45" s="71" t="n">
        <v>-0.09370000000000001</v>
      </c>
      <c r="G45" t="inlineStr">
        <is>
          <t>https://data.stats.gov.cn/</t>
        </is>
      </c>
      <c r="H45" t="inlineStr">
        <is>
          <t>Wind 数据终端，2026-08-01 采集；分品种产量 Wind 无，添加率假设留空待填</t>
        </is>
      </c>
    </row>
    <row r="46">
      <c r="A46" s="68" t="n">
        <v>44682</v>
      </c>
      <c r="B46" t="inlineStr">
        <is>
          <t>饲料总产量</t>
        </is>
      </c>
      <c r="C46" t="n">
        <v>2570.6</v>
      </c>
      <c r="D46" s="71" t="n">
        <v>-0.1073</v>
      </c>
      <c r="G46" t="inlineStr">
        <is>
          <t>https://data.stats.gov.cn/</t>
        </is>
      </c>
      <c r="H46" t="inlineStr">
        <is>
          <t>Wind 数据终端，2026-08-01 采集；分品种产量 Wind 无，添加率假设留空待填</t>
        </is>
      </c>
    </row>
    <row r="47">
      <c r="A47" s="68" t="n">
        <v>44652</v>
      </c>
      <c r="B47" t="inlineStr">
        <is>
          <t>饲料总产量</t>
        </is>
      </c>
      <c r="C47" t="n">
        <v>2407.8</v>
      </c>
      <c r="D47" s="71" t="n">
        <v>-0.0984</v>
      </c>
      <c r="G47" t="inlineStr">
        <is>
          <t>https://data.stats.gov.cn/</t>
        </is>
      </c>
      <c r="H47" t="inlineStr">
        <is>
          <t>Wind 数据终端，2026-08-01 采集；分品种产量 Wind 无，添加率假设留空待填</t>
        </is>
      </c>
    </row>
    <row r="48">
      <c r="A48" s="68" t="n">
        <v>44621</v>
      </c>
      <c r="B48" t="inlineStr">
        <is>
          <t>饲料总产量</t>
        </is>
      </c>
      <c r="C48" t="n">
        <v>2616.7</v>
      </c>
      <c r="D48" s="71" t="n">
        <v>0.0068</v>
      </c>
      <c r="G48" t="inlineStr">
        <is>
          <t>https://data.stats.gov.cn/</t>
        </is>
      </c>
      <c r="H48" t="inlineStr">
        <is>
          <t>Wind 数据终端，2026-08-01 采集；分品种产量 Wind 无，添加率假设留空待填</t>
        </is>
      </c>
    </row>
    <row r="49">
      <c r="A49" s="68" t="n">
        <v>44531</v>
      </c>
      <c r="B49" t="inlineStr">
        <is>
          <t>饲料总产量</t>
        </is>
      </c>
      <c r="C49" t="n">
        <v>2859.9</v>
      </c>
      <c r="D49" s="71" t="n">
        <v>0.0109</v>
      </c>
      <c r="G49" t="inlineStr">
        <is>
          <t>https://data.stats.gov.cn/</t>
        </is>
      </c>
      <c r="H49" t="inlineStr">
        <is>
          <t>Wind 数据终端，2026-08-01 采集；分品种产量 Wind 无，添加率假设留空待填</t>
        </is>
      </c>
    </row>
    <row r="50">
      <c r="A50" s="68" t="n">
        <v>44501</v>
      </c>
      <c r="B50" t="inlineStr">
        <is>
          <t>饲料总产量</t>
        </is>
      </c>
      <c r="C50" t="n">
        <v>2837.9</v>
      </c>
      <c r="D50" s="71" t="n">
        <v>0.038</v>
      </c>
      <c r="G50" t="inlineStr">
        <is>
          <t>https://data.stats.gov.cn/</t>
        </is>
      </c>
      <c r="H50" t="inlineStr">
        <is>
          <t>Wind 数据终端，2026-08-01 采集；分品种产量 Wind 无，添加率假设留空待填</t>
        </is>
      </c>
    </row>
    <row r="51">
      <c r="A51" s="68" t="n">
        <v>44470</v>
      </c>
      <c r="B51" t="inlineStr">
        <is>
          <t>饲料总产量</t>
        </is>
      </c>
      <c r="C51" t="n">
        <v>2796.2</v>
      </c>
      <c r="D51" s="71" t="n">
        <v>-0.0185</v>
      </c>
      <c r="G51" t="inlineStr">
        <is>
          <t>https://data.stats.gov.cn/</t>
        </is>
      </c>
      <c r="H51" t="inlineStr">
        <is>
          <t>Wind 数据终端，2026-08-01 采集；分品种产量 Wind 无，添加率假设留空待填</t>
        </is>
      </c>
    </row>
    <row r="52">
      <c r="A52" s="68" t="n">
        <v>44440</v>
      </c>
      <c r="B52" t="inlineStr">
        <is>
          <t>饲料总产量</t>
        </is>
      </c>
      <c r="C52" t="n">
        <v>2749.9</v>
      </c>
      <c r="D52" s="71" t="n">
        <v>-0.0109</v>
      </c>
      <c r="G52" t="inlineStr">
        <is>
          <t>https://data.stats.gov.cn/</t>
        </is>
      </c>
      <c r="H52" t="inlineStr">
        <is>
          <t>Wind 数据终端，2026-08-01 采集；分品种产量 Wind 无，添加率假设留空待填</t>
        </is>
      </c>
    </row>
    <row r="53">
      <c r="A53" s="68" t="n">
        <v>44409</v>
      </c>
      <c r="B53" t="inlineStr">
        <is>
          <t>饲料总产量</t>
        </is>
      </c>
      <c r="C53" t="n">
        <v>2858.9</v>
      </c>
      <c r="D53" s="71" t="n">
        <v>0.1266</v>
      </c>
      <c r="G53" t="inlineStr">
        <is>
          <t>https://data.stats.gov.cn/</t>
        </is>
      </c>
      <c r="H53" t="inlineStr">
        <is>
          <t>Wind 数据终端，2026-08-01 采集；分品种产量 Wind 无，添加率假设留空待填</t>
        </is>
      </c>
    </row>
    <row r="54">
      <c r="A54" s="68" t="n">
        <v>44378</v>
      </c>
      <c r="B54" t="inlineStr">
        <is>
          <t>饲料总产量</t>
        </is>
      </c>
      <c r="C54" t="n">
        <v>2777.4</v>
      </c>
      <c r="D54" s="71" t="n">
        <v>0.134</v>
      </c>
      <c r="G54" t="inlineStr">
        <is>
          <t>https://data.stats.gov.cn/</t>
        </is>
      </c>
      <c r="H54" t="inlineStr">
        <is>
          <t>Wind 数据终端，2026-08-01 采集；分品种产量 Wind 无，添加率假设留空待填</t>
        </is>
      </c>
    </row>
    <row r="55">
      <c r="A55" s="68" t="n">
        <v>44348</v>
      </c>
      <c r="B55" t="inlineStr">
        <is>
          <t>饲料总产量</t>
        </is>
      </c>
      <c r="C55" t="n">
        <v>2967.8</v>
      </c>
      <c r="D55" s="71" t="n">
        <v>0.2345</v>
      </c>
      <c r="G55" t="inlineStr">
        <is>
          <t>https://data.stats.gov.cn/</t>
        </is>
      </c>
      <c r="H55" t="inlineStr">
        <is>
          <t>Wind 数据终端，2026-08-01 采集；分品种产量 Wind 无，添加率假设留空待填</t>
        </is>
      </c>
    </row>
    <row r="56">
      <c r="A56" s="68" t="n">
        <v>44317</v>
      </c>
      <c r="B56" t="inlineStr">
        <is>
          <t>饲料总产量</t>
        </is>
      </c>
      <c r="C56" t="n">
        <v>2879.7</v>
      </c>
      <c r="D56" s="71" t="n">
        <v>0.2493</v>
      </c>
      <c r="G56" t="inlineStr">
        <is>
          <t>https://data.stats.gov.cn/</t>
        </is>
      </c>
      <c r="H56" t="inlineStr">
        <is>
          <t>Wind 数据终端，2026-08-01 采集；分品种产量 Wind 无，添加率假设留空待填</t>
        </is>
      </c>
    </row>
    <row r="57">
      <c r="A57" s="68" t="n">
        <v>44287</v>
      </c>
      <c r="B57" t="inlineStr">
        <is>
          <t>饲料总产量</t>
        </is>
      </c>
      <c r="C57" t="n">
        <v>2670.6</v>
      </c>
      <c r="D57" s="71" t="n">
        <v>0.1898</v>
      </c>
      <c r="G57" t="inlineStr">
        <is>
          <t>https://data.stats.gov.cn/</t>
        </is>
      </c>
      <c r="H57" t="inlineStr">
        <is>
          <t>Wind 数据终端，2026-08-01 采集；分品种产量 Wind 无，添加率假设留空待填</t>
        </is>
      </c>
    </row>
    <row r="58">
      <c r="A58" s="68" t="n">
        <v>44256</v>
      </c>
      <c r="B58" t="inlineStr">
        <is>
          <t>饲料总产量</t>
        </is>
      </c>
      <c r="C58" t="n">
        <v>2598.9</v>
      </c>
      <c r="D58" s="71" t="n">
        <v>0.2296</v>
      </c>
      <c r="G58" t="inlineStr">
        <is>
          <t>https://data.stats.gov.cn/</t>
        </is>
      </c>
      <c r="H58" t="inlineStr">
        <is>
          <t>Wind 数据终端，2026-08-01 采集；分品种产量 Wind 无，添加率假设留空待填</t>
        </is>
      </c>
    </row>
    <row r="59">
      <c r="A59" s="68" t="n">
        <v>44166</v>
      </c>
      <c r="B59" t="inlineStr">
        <is>
          <t>饲料总产量</t>
        </is>
      </c>
      <c r="C59" t="n">
        <v>2829</v>
      </c>
      <c r="D59" s="71" t="n">
        <v>0.155</v>
      </c>
      <c r="G59" t="inlineStr">
        <is>
          <t>https://data.stats.gov.cn/</t>
        </is>
      </c>
      <c r="H59" t="inlineStr">
        <is>
          <t>Wind 数据终端，2026-08-01 采集；分品种产量 Wind 无，添加率假设留空待填</t>
        </is>
      </c>
    </row>
    <row r="60">
      <c r="A60" s="68" t="n">
        <v>44136</v>
      </c>
      <c r="B60" t="inlineStr">
        <is>
          <t>饲料总产量</t>
        </is>
      </c>
      <c r="C60" t="n">
        <v>2734.1</v>
      </c>
      <c r="D60" s="71" t="n">
        <v>0.1971</v>
      </c>
      <c r="G60" t="inlineStr">
        <is>
          <t>https://data.stats.gov.cn/</t>
        </is>
      </c>
      <c r="H60" t="inlineStr">
        <is>
          <t>Wind 数据终端，2026-08-01 采集；分品种产量 Wind 无，添加率假设留空待填</t>
        </is>
      </c>
    </row>
    <row r="61">
      <c r="A61" s="68" t="n">
        <v>44105</v>
      </c>
      <c r="B61" t="inlineStr">
        <is>
          <t>饲料总产量</t>
        </is>
      </c>
      <c r="C61" t="n">
        <v>2849</v>
      </c>
      <c r="D61" s="71" t="n">
        <v>0.245</v>
      </c>
      <c r="G61" t="inlineStr">
        <is>
          <t>https://data.stats.gov.cn/</t>
        </is>
      </c>
      <c r="H61" t="inlineStr">
        <is>
          <t>Wind 数据终端，2026-08-01 采集；分品种产量 Wind 无，添加率假设留空待填</t>
        </is>
      </c>
    </row>
    <row r="62">
      <c r="A62" s="68" t="n">
        <v>44075</v>
      </c>
      <c r="B62" t="inlineStr">
        <is>
          <t>饲料总产量</t>
        </is>
      </c>
      <c r="C62" t="n">
        <v>2780.3</v>
      </c>
      <c r="D62" s="71" t="n">
        <v>0.1955</v>
      </c>
      <c r="G62" t="inlineStr">
        <is>
          <t>https://data.stats.gov.cn/</t>
        </is>
      </c>
      <c r="H62" t="inlineStr">
        <is>
          <t>Wind 数据终端，2026-08-01 采集；分品种产量 Wind 无，添加率假设留空待填</t>
        </is>
      </c>
    </row>
    <row r="63">
      <c r="A63" s="68" t="n">
        <v>44044</v>
      </c>
      <c r="B63" t="inlineStr">
        <is>
          <t>饲料总产量</t>
        </is>
      </c>
      <c r="C63" t="n">
        <v>2537.6</v>
      </c>
      <c r="D63" s="71" t="n">
        <v>0.1582</v>
      </c>
      <c r="G63" t="inlineStr">
        <is>
          <t>https://data.stats.gov.cn/</t>
        </is>
      </c>
      <c r="H63" t="inlineStr">
        <is>
          <t>Wind 数据终端，2026-08-01 采集；分品种产量 Wind 无，添加率假设留空待填</t>
        </is>
      </c>
    </row>
    <row r="64">
      <c r="A64" s="68" t="n">
        <v>44013</v>
      </c>
      <c r="B64" t="inlineStr">
        <is>
          <t>饲料总产量</t>
        </is>
      </c>
      <c r="C64" t="n">
        <v>2449.2</v>
      </c>
      <c r="D64" s="71" t="n">
        <v>0.1761</v>
      </c>
      <c r="G64" t="inlineStr">
        <is>
          <t>https://data.stats.gov.cn/</t>
        </is>
      </c>
      <c r="H64" t="inlineStr">
        <is>
          <t>Wind 数据终端，2026-08-01 采集；分品种产量 Wind 无，添加率假设留空待填</t>
        </is>
      </c>
    </row>
    <row r="65">
      <c r="A65" s="68" t="n">
        <v>43983</v>
      </c>
      <c r="B65" t="inlineStr">
        <is>
          <t>饲料总产量</t>
        </is>
      </c>
      <c r="C65" t="n">
        <v>2404.1</v>
      </c>
      <c r="D65" s="71" t="n">
        <v>0.1444</v>
      </c>
      <c r="G65" t="inlineStr">
        <is>
          <t>https://data.stats.gov.cn/</t>
        </is>
      </c>
      <c r="H65" t="inlineStr">
        <is>
          <t>Wind 数据终端，2026-08-01 采集；分品种产量 Wind 无，添加率假设留空待填</t>
        </is>
      </c>
    </row>
    <row r="66">
      <c r="A66" s="68" t="n">
        <v>43952</v>
      </c>
      <c r="B66" t="inlineStr">
        <is>
          <t>饲料总产量</t>
        </is>
      </c>
      <c r="C66" t="n">
        <v>2305</v>
      </c>
      <c r="D66" s="71" t="n">
        <v>0.1292</v>
      </c>
      <c r="G66" t="inlineStr">
        <is>
          <t>https://data.stats.gov.cn/</t>
        </is>
      </c>
      <c r="H66" t="inlineStr">
        <is>
          <t>Wind 数据终端，2026-08-01 采集；分品种产量 Wind 无，添加率假设留空待填</t>
        </is>
      </c>
    </row>
    <row r="67">
      <c r="A67" s="68" t="n">
        <v>43922</v>
      </c>
      <c r="B67" t="inlineStr">
        <is>
          <t>饲料总产量</t>
        </is>
      </c>
      <c r="C67" t="n">
        <v>2244.6</v>
      </c>
      <c r="D67" s="71" t="n">
        <v>0.1631</v>
      </c>
      <c r="G67" t="inlineStr">
        <is>
          <t>https://data.stats.gov.cn/</t>
        </is>
      </c>
      <c r="H67" t="inlineStr">
        <is>
          <t>Wind 数据终端，2026-08-01 采集；分品种产量 Wind 无，添加率假设留空待填</t>
        </is>
      </c>
    </row>
    <row r="68">
      <c r="A68" s="68" t="n">
        <v>43891</v>
      </c>
      <c r="B68" t="inlineStr">
        <is>
          <t>饲料总产量</t>
        </is>
      </c>
      <c r="C68" t="n">
        <v>2113.7</v>
      </c>
      <c r="D68" s="71" t="n">
        <v>0.07729999999999999</v>
      </c>
      <c r="G68" t="inlineStr">
        <is>
          <t>https://data.stats.gov.cn/</t>
        </is>
      </c>
      <c r="H68" t="inlineStr">
        <is>
          <t>Wind 数据终端，2026-08-01 采集；分品种产量 Wind 无，添加率假设留空待填</t>
        </is>
      </c>
    </row>
    <row r="69">
      <c r="A69" s="68" t="n">
        <v>43800</v>
      </c>
      <c r="B69" t="inlineStr">
        <is>
          <t>饲料总产量</t>
        </is>
      </c>
      <c r="C69" t="n">
        <v>2449.3</v>
      </c>
      <c r="D69" s="71" t="n">
        <v>0.08840000000000001</v>
      </c>
      <c r="G69" t="inlineStr">
        <is>
          <t>https://data.stats.gov.cn/</t>
        </is>
      </c>
      <c r="H69" t="inlineStr">
        <is>
          <t>Wind 数据终端，2026-08-01 采集；分品种产量 Wind 无，添加率假设留空待填</t>
        </is>
      </c>
    </row>
    <row r="70">
      <c r="A70" s="68" t="n">
        <v>43770</v>
      </c>
      <c r="B70" t="inlineStr">
        <is>
          <t>饲料总产量</t>
        </is>
      </c>
      <c r="C70" t="n">
        <v>2283.9</v>
      </c>
      <c r="D70" s="71" t="n">
        <v>0.0487</v>
      </c>
      <c r="G70" t="inlineStr">
        <is>
          <t>https://data.stats.gov.cn/</t>
        </is>
      </c>
      <c r="H70" t="inlineStr">
        <is>
          <t>Wind 数据终端，2026-08-01 采集；分品种产量 Wind 无，添加率假设留空待填</t>
        </is>
      </c>
    </row>
    <row r="71">
      <c r="A71" s="68" t="n">
        <v>43739</v>
      </c>
      <c r="B71" t="inlineStr">
        <is>
          <t>饲料总产量</t>
        </is>
      </c>
      <c r="C71" t="n">
        <v>2288.3</v>
      </c>
      <c r="D71" s="71" t="n">
        <v>-0.0066</v>
      </c>
      <c r="G71" t="inlineStr">
        <is>
          <t>https://data.stats.gov.cn/</t>
        </is>
      </c>
      <c r="H71" t="inlineStr">
        <is>
          <t>Wind 数据终端，2026-08-01 采集；分品种产量 Wind 无，添加率假设留空待填</t>
        </is>
      </c>
    </row>
    <row r="72">
      <c r="A72" s="68" t="n">
        <v>43709</v>
      </c>
      <c r="B72" t="inlineStr">
        <is>
          <t>饲料总产量</t>
        </is>
      </c>
      <c r="C72" t="n">
        <v>2325.7</v>
      </c>
      <c r="D72" s="71" t="n">
        <v>0.0302</v>
      </c>
      <c r="G72" t="inlineStr">
        <is>
          <t>https://data.stats.gov.cn/</t>
        </is>
      </c>
      <c r="H72" t="inlineStr">
        <is>
          <t>Wind 数据终端，2026-08-01 采集；分品种产量 Wind 无，添加率假设留空待填</t>
        </is>
      </c>
    </row>
    <row r="73">
      <c r="A73" s="68" t="n">
        <v>43678</v>
      </c>
      <c r="B73" t="inlineStr">
        <is>
          <t>饲料总产量</t>
        </is>
      </c>
      <c r="C73" t="n">
        <v>2190.9</v>
      </c>
      <c r="D73" s="71" t="n">
        <v>-0.0256</v>
      </c>
      <c r="G73" t="inlineStr">
        <is>
          <t>https://data.stats.gov.cn/</t>
        </is>
      </c>
      <c r="H73" t="inlineStr">
        <is>
          <t>Wind 数据终端，2026-08-01 采集；分品种产量 Wind 无，添加率假设留空待填</t>
        </is>
      </c>
    </row>
    <row r="74">
      <c r="A74" s="68" t="n">
        <v>43647</v>
      </c>
      <c r="B74" t="inlineStr">
        <is>
          <t>饲料总产量</t>
        </is>
      </c>
      <c r="C74" t="n">
        <v>2082.4</v>
      </c>
      <c r="D74" s="71" t="n">
        <v>-0.016</v>
      </c>
      <c r="G74" t="inlineStr">
        <is>
          <t>https://data.stats.gov.cn/</t>
        </is>
      </c>
      <c r="H74" t="inlineStr">
        <is>
          <t>Wind 数据终端，2026-08-01 采集；分品种产量 Wind 无，添加率假设留空待填</t>
        </is>
      </c>
    </row>
    <row r="75">
      <c r="A75" s="68" t="n">
        <v>43617</v>
      </c>
      <c r="B75" t="inlineStr">
        <is>
          <t>饲料总产量</t>
        </is>
      </c>
      <c r="C75" t="n">
        <v>2100.7</v>
      </c>
      <c r="D75" s="71" t="n">
        <v>-0.0271</v>
      </c>
      <c r="G75" t="inlineStr">
        <is>
          <t>https://data.stats.gov.cn/</t>
        </is>
      </c>
      <c r="H75" t="inlineStr">
        <is>
          <t>Wind 数据终端，2026-08-01 采集；分品种产量 Wind 无，添加率假设留空待填</t>
        </is>
      </c>
    </row>
    <row r="76">
      <c r="A76" s="68" t="n">
        <v>43586</v>
      </c>
      <c r="B76" t="inlineStr">
        <is>
          <t>饲料总产量</t>
        </is>
      </c>
      <c r="C76" t="n">
        <v>2041.2</v>
      </c>
      <c r="D76" s="71" t="n">
        <v>0.0032</v>
      </c>
      <c r="G76" t="inlineStr">
        <is>
          <t>https://data.stats.gov.cn/</t>
        </is>
      </c>
      <c r="H76" t="inlineStr">
        <is>
          <t>Wind 数据终端，2026-08-01 采集；分品种产量 Wind 无，添加率假设留空待填</t>
        </is>
      </c>
    </row>
    <row r="77">
      <c r="A77" s="68" t="n">
        <v>43556</v>
      </c>
      <c r="B77" t="inlineStr">
        <is>
          <t>饲料总产量</t>
        </is>
      </c>
      <c r="C77" t="n">
        <v>1929.8</v>
      </c>
      <c r="D77" s="71" t="n">
        <v>-0.0561</v>
      </c>
      <c r="G77" t="inlineStr">
        <is>
          <t>https://data.stats.gov.cn/</t>
        </is>
      </c>
      <c r="H77" t="inlineStr">
        <is>
          <t>Wind 数据终端，2026-08-01 采集；分品种产量 Wind 无，添加率假设留空待填</t>
        </is>
      </c>
    </row>
    <row r="78">
      <c r="A78" s="68" t="n">
        <v>43525</v>
      </c>
      <c r="B78" t="inlineStr">
        <is>
          <t>饲料总产量</t>
        </is>
      </c>
      <c r="C78" t="n">
        <v>1962.1</v>
      </c>
      <c r="D78" s="71" t="n">
        <v>-0.1093</v>
      </c>
      <c r="G78" t="inlineStr">
        <is>
          <t>https://data.stats.gov.cn/</t>
        </is>
      </c>
      <c r="H78" t="inlineStr">
        <is>
          <t>Wind 数据终端，2026-08-01 采集；分品种产量 Wind 无，添加率假设留空待填</t>
        </is>
      </c>
    </row>
    <row r="79">
      <c r="A79" s="68" t="n">
        <v>43435</v>
      </c>
      <c r="B79" t="inlineStr">
        <is>
          <t>饲料总产量</t>
        </is>
      </c>
      <c r="C79" t="n">
        <v>2250.27</v>
      </c>
      <c r="D79" s="71" t="n">
        <v>-0.1235</v>
      </c>
      <c r="G79" t="inlineStr">
        <is>
          <t>https://data.stats.gov.cn/</t>
        </is>
      </c>
      <c r="H79" t="inlineStr">
        <is>
          <t>Wind 数据终端，2026-08-01 采集；分品种产量 Wind 无，添加率假设留空待填</t>
        </is>
      </c>
    </row>
    <row r="80">
      <c r="A80" s="68" t="n">
        <v>43405</v>
      </c>
      <c r="B80" t="inlineStr">
        <is>
          <t>饲料总产量</t>
        </is>
      </c>
      <c r="C80" t="n">
        <v>2177.9</v>
      </c>
      <c r="D80" s="71" t="n">
        <v>-0.1772</v>
      </c>
      <c r="G80" t="inlineStr">
        <is>
          <t>https://data.stats.gov.cn/</t>
        </is>
      </c>
      <c r="H80" t="inlineStr">
        <is>
          <t>Wind 数据终端，2026-08-01 采集；分品种产量 Wind 无，添加率假设留空待填</t>
        </is>
      </c>
    </row>
    <row r="81">
      <c r="A81" s="68" t="n">
        <v>43374</v>
      </c>
      <c r="B81" t="inlineStr">
        <is>
          <t>饲料总产量</t>
        </is>
      </c>
      <c r="C81" t="n">
        <v>2303.42</v>
      </c>
      <c r="G81" t="inlineStr">
        <is>
          <t>https://data.stats.gov.cn/</t>
        </is>
      </c>
      <c r="H81" t="inlineStr">
        <is>
          <t>Wind 数据终端，2026-08-01 采集；分品种产量 Wind 无，添加率假设留空待填</t>
        </is>
      </c>
    </row>
    <row r="82">
      <c r="A82" s="68" t="n">
        <v>43344</v>
      </c>
      <c r="B82" t="inlineStr">
        <is>
          <t>饲料总产量</t>
        </is>
      </c>
      <c r="C82" t="n">
        <v>2257.53</v>
      </c>
      <c r="G82" t="inlineStr">
        <is>
          <t>https://data.stats.gov.cn/</t>
        </is>
      </c>
      <c r="H82" t="inlineStr">
        <is>
          <t>Wind 数据终端，2026-08-01 采集；分品种产量 Wind 无，添加率假设留空待填</t>
        </is>
      </c>
    </row>
    <row r="83">
      <c r="A83" s="68" t="n">
        <v>43313</v>
      </c>
      <c r="B83" t="inlineStr">
        <is>
          <t>饲料总产量</t>
        </is>
      </c>
      <c r="C83" t="n">
        <v>2248.36</v>
      </c>
      <c r="G83" t="inlineStr">
        <is>
          <t>https://data.stats.gov.cn/</t>
        </is>
      </c>
      <c r="H83" t="inlineStr">
        <is>
          <t>Wind 数据终端，2026-08-01 采集；分品种产量 Wind 无，添加率假设留空待填</t>
        </is>
      </c>
    </row>
    <row r="84">
      <c r="A84" s="68" t="n">
        <v>43282</v>
      </c>
      <c r="B84" t="inlineStr">
        <is>
          <t>饲料总产量</t>
        </is>
      </c>
      <c r="C84" t="n">
        <v>2116.25</v>
      </c>
      <c r="G84" t="inlineStr">
        <is>
          <t>https://data.stats.gov.cn/</t>
        </is>
      </c>
      <c r="H84" t="inlineStr">
        <is>
          <t>Wind 数据终端，2026-08-01 采集；分品种产量 Wind 无，添加率假设留空待填</t>
        </is>
      </c>
    </row>
    <row r="85">
      <c r="A85" s="68" t="n">
        <v>43252</v>
      </c>
      <c r="B85" t="inlineStr">
        <is>
          <t>饲料总产量</t>
        </is>
      </c>
      <c r="C85" t="n">
        <v>2159.15</v>
      </c>
      <c r="G85" t="inlineStr">
        <is>
          <t>https://data.stats.gov.cn/</t>
        </is>
      </c>
      <c r="H85" t="inlineStr">
        <is>
          <t>Wind 数据终端，2026-08-01 采集；分品种产量 Wind 无，添加率假设留空待填</t>
        </is>
      </c>
    </row>
    <row r="86">
      <c r="A86" s="68" t="n">
        <v>43221</v>
      </c>
      <c r="B86" t="inlineStr">
        <is>
          <t>饲料总产量</t>
        </is>
      </c>
      <c r="C86" t="n">
        <v>2034.61</v>
      </c>
      <c r="G86" t="inlineStr">
        <is>
          <t>https://data.stats.gov.cn/</t>
        </is>
      </c>
      <c r="H86" t="inlineStr">
        <is>
          <t>Wind 数据终端，2026-08-01 采集；分品种产量 Wind 无，添加率假设留空待填</t>
        </is>
      </c>
    </row>
    <row r="87">
      <c r="A87" s="68" t="n">
        <v>43191</v>
      </c>
      <c r="B87" t="inlineStr">
        <is>
          <t>饲料总产量</t>
        </is>
      </c>
      <c r="C87" t="n">
        <v>2044.6</v>
      </c>
      <c r="G87" t="inlineStr">
        <is>
          <t>https://data.stats.gov.cn/</t>
        </is>
      </c>
      <c r="H87" t="inlineStr">
        <is>
          <t>Wind 数据终端，2026-08-01 采集；分品种产量 Wind 无，添加率假设留空待填</t>
        </is>
      </c>
    </row>
    <row r="88">
      <c r="A88" s="68" t="n">
        <v>43160</v>
      </c>
      <c r="B88" t="inlineStr">
        <is>
          <t>饲料总产量</t>
        </is>
      </c>
      <c r="C88" t="n">
        <v>2202.8</v>
      </c>
      <c r="G88" t="inlineStr">
        <is>
          <t>https://data.stats.gov.cn/</t>
        </is>
      </c>
      <c r="H88" t="inlineStr">
        <is>
          <t>Wind 数据终端，2026-08-01 采集；分品种产量 Wind 无，添加率假设留空待填</t>
        </is>
      </c>
    </row>
    <row r="89">
      <c r="A89" s="68" t="n">
        <v>43070</v>
      </c>
      <c r="B89" t="inlineStr">
        <is>
          <t>饲料总产量</t>
        </is>
      </c>
      <c r="C89" t="n">
        <v>2567.3</v>
      </c>
      <c r="G89" t="inlineStr">
        <is>
          <t>https://data.stats.gov.cn/</t>
        </is>
      </c>
      <c r="H89" t="inlineStr">
        <is>
          <t>Wind 数据终端，2026-08-01 采集；分品种产量 Wind 无，添加率假设留空待填</t>
        </is>
      </c>
    </row>
    <row r="90">
      <c r="A90" s="68" t="n">
        <v>43040</v>
      </c>
      <c r="B90" t="inlineStr">
        <is>
          <t>饲料总产量</t>
        </is>
      </c>
      <c r="C90" t="n">
        <v>2646.89</v>
      </c>
      <c r="G90" t="inlineStr">
        <is>
          <t>https://data.stats.gov.cn/</t>
        </is>
      </c>
      <c r="H90" t="inlineStr">
        <is>
          <t>Wind 数据终端，2026-08-01 采集；分品种产量 Wind 无，添加率假设留空待填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24" customWidth="1" min="8" max="8"/>
    <col width="24" customWidth="1" min="9" max="9"/>
    <col width="24" customWidth="1" min="10" max="10"/>
  </cols>
  <sheetData>
    <row r="1">
      <c r="A1" s="3" t="inlineStr">
        <is>
          <t>养殖存栏与供给指标｜月度</t>
        </is>
      </c>
    </row>
    <row r="2"/>
    <row r="3">
      <c r="A3" s="41" t="inlineStr">
        <is>
          <t>首选来源：国家统计局、农业农村部、行业资料　https://www.moa.gov.cn/ztzl/szcpxx/jdsj/</t>
        </is>
      </c>
    </row>
    <row r="4" ht="34" customHeight="1">
      <c r="A4" s="6" t="inlineStr">
        <is>
          <t>月份
必填</t>
        </is>
      </c>
      <c r="B4" s="6" t="inlineStr">
        <is>
          <t>生猪存栏
必填</t>
        </is>
      </c>
      <c r="C4" s="6" t="inlineStr">
        <is>
          <t>能繁母猪存栏
必填</t>
        </is>
      </c>
      <c r="D4" s="6" t="inlineStr">
        <is>
          <t>生猪出栏/屠宰量
选填</t>
        </is>
      </c>
      <c r="E4" s="6" t="inlineStr">
        <is>
          <t>肉鸡存栏或补栏
选填</t>
        </is>
      </c>
      <c r="F4" s="6" t="inlineStr">
        <is>
          <t>蛋鸡存栏或补栏
选填</t>
        </is>
      </c>
      <c r="G4" s="6" t="inlineStr">
        <is>
          <t>水产养殖景气或投苗指数
选填</t>
        </is>
      </c>
      <c r="H4" s="6" t="inlineStr">
        <is>
          <t>来源机构
必填</t>
        </is>
      </c>
      <c r="I4" s="6" t="inlineStr">
        <is>
          <t>来源网址
必填</t>
        </is>
      </c>
      <c r="J4" s="6" t="inlineStr">
        <is>
          <t>备注
选填</t>
        </is>
      </c>
    </row>
    <row r="5" ht="22" customHeight="1">
      <c r="A5" s="64" t="n">
        <v>46174</v>
      </c>
      <c r="B5" s="60" t="n">
        <v>42491</v>
      </c>
      <c r="C5" s="60" t="n">
        <v>3780</v>
      </c>
      <c r="D5" s="60" t="n">
        <v>17220</v>
      </c>
      <c r="E5" s="60" t="n"/>
      <c r="F5" s="60" t="n"/>
      <c r="G5" s="60" t="n"/>
      <c r="H5" s="45" t="inlineStr">
        <is>
          <t>国家统计局/农业农村部（Wind 采集）</t>
        </is>
      </c>
      <c r="I5" s="45" t="inlineStr">
        <is>
          <t>https://data.stats.gov.cn/</t>
        </is>
      </c>
      <c r="J5" s="45" t="inlineStr">
        <is>
          <t>季度数据落季度末月；能繁母猪仅保留 3000—5000 万头口径区间值，Wind 异口径值已剔除</t>
        </is>
      </c>
    </row>
    <row r="6" ht="22" customHeight="1">
      <c r="A6" s="66" t="n">
        <v>46082</v>
      </c>
      <c r="B6" s="62" t="n">
        <v>42358</v>
      </c>
      <c r="C6" s="62" t="n">
        <v>3904</v>
      </c>
      <c r="D6" s="62" t="n">
        <v>20026</v>
      </c>
      <c r="E6" s="62" t="n"/>
      <c r="F6" s="62" t="n"/>
      <c r="G6" s="62" t="n"/>
      <c r="H6" s="46" t="inlineStr">
        <is>
          <t>国家统计局/农业农村部（Wind 采集）</t>
        </is>
      </c>
      <c r="I6" s="46" t="inlineStr">
        <is>
          <t>https://data.stats.gov.cn/</t>
        </is>
      </c>
      <c r="J6" s="46" t="inlineStr">
        <is>
          <t>季度数据落季度末月；能繁母猪仅保留 3000—5000 万头口径区间值，Wind 异口径值已剔除</t>
        </is>
      </c>
    </row>
    <row r="7" ht="22" customHeight="1">
      <c r="A7" s="66" t="n">
        <v>45992</v>
      </c>
      <c r="B7" s="62" t="n">
        <v>42967</v>
      </c>
      <c r="C7" s="62" t="n"/>
      <c r="D7" s="62" t="n">
        <v>18981</v>
      </c>
      <c r="E7" s="62" t="n"/>
      <c r="F7" s="62" t="n"/>
      <c r="G7" s="62" t="n"/>
      <c r="H7" s="46" t="inlineStr">
        <is>
          <t>国家统计局/农业农村部（Wind 采集）</t>
        </is>
      </c>
      <c r="I7" s="46" t="inlineStr">
        <is>
          <t>https://data.stats.gov.cn/</t>
        </is>
      </c>
      <c r="J7" s="46" t="inlineStr">
        <is>
          <t>季度数据落季度末月；能繁母猪仅保留 3000—5000 万头口径区间值，Wind 异口径值已剔除</t>
        </is>
      </c>
    </row>
    <row r="8" ht="22" customHeight="1">
      <c r="A8" s="66" t="n">
        <v>45901</v>
      </c>
      <c r="B8" s="62" t="n">
        <v>43680</v>
      </c>
      <c r="C8" s="62" t="n"/>
      <c r="D8" s="62" t="n">
        <v>16373</v>
      </c>
      <c r="E8" s="62" t="n"/>
      <c r="F8" s="62" t="n"/>
      <c r="G8" s="62" t="n"/>
      <c r="H8" s="46" t="inlineStr">
        <is>
          <t>国家统计局/农业农村部（Wind 采集）</t>
        </is>
      </c>
      <c r="I8" s="46" t="inlineStr">
        <is>
          <t>https://data.stats.gov.cn/</t>
        </is>
      </c>
      <c r="J8" s="46" t="inlineStr">
        <is>
          <t>季度数据落季度末月；能繁母猪仅保留 3000—5000 万头口径区间值，Wind 异口径值已剔除</t>
        </is>
      </c>
    </row>
    <row r="9" ht="22" customHeight="1">
      <c r="A9" s="66" t="n">
        <v>45809</v>
      </c>
      <c r="B9" s="62" t="n">
        <v>42447</v>
      </c>
      <c r="C9" s="62" t="n"/>
      <c r="D9" s="62" t="n">
        <v>17143</v>
      </c>
      <c r="E9" s="62" t="n"/>
      <c r="F9" s="62" t="n"/>
      <c r="G9" s="62" t="n"/>
      <c r="H9" s="46" t="inlineStr">
        <is>
          <t>国家统计局/农业农村部（Wind 采集）</t>
        </is>
      </c>
      <c r="I9" s="46" t="inlineStr">
        <is>
          <t>https://data.stats.gov.cn/</t>
        </is>
      </c>
      <c r="J9" s="46" t="inlineStr">
        <is>
          <t>季度数据落季度末月；能繁母猪仅保留 3000—5000 万头口径区间值，Wind 异口径值已剔除</t>
        </is>
      </c>
    </row>
    <row r="10" ht="22" customHeight="1">
      <c r="A10" s="66" t="n">
        <v>45717</v>
      </c>
      <c r="B10" s="62" t="n">
        <v>41731</v>
      </c>
      <c r="C10" s="62" t="n"/>
      <c r="D10" s="62" t="n">
        <v>19476</v>
      </c>
      <c r="E10" s="62" t="n"/>
      <c r="F10" s="62" t="n"/>
      <c r="G10" s="62" t="n"/>
      <c r="H10" s="46" t="inlineStr">
        <is>
          <t>国家统计局/农业农村部（Wind 采集）</t>
        </is>
      </c>
      <c r="I10" s="46" t="inlineStr">
        <is>
          <t>https://data.stats.gov.cn/</t>
        </is>
      </c>
      <c r="J10" s="46" t="inlineStr">
        <is>
          <t>季度数据落季度末月；能繁母猪仅保留 3000—5000 万头口径区间值，Wind 异口径值已剔除</t>
        </is>
      </c>
    </row>
    <row r="11" ht="22" customHeight="1">
      <c r="A11" s="66" t="n">
        <v>45627</v>
      </c>
      <c r="B11" s="62" t="n">
        <v>42743</v>
      </c>
      <c r="C11" s="62" t="n"/>
      <c r="D11" s="62" t="n">
        <v>18226</v>
      </c>
      <c r="E11" s="62" t="n"/>
      <c r="F11" s="62" t="n"/>
      <c r="G11" s="62" t="n"/>
      <c r="H11" s="46" t="inlineStr">
        <is>
          <t>国家统计局/农业农村部（Wind 采集）</t>
        </is>
      </c>
      <c r="I11" s="46" t="inlineStr">
        <is>
          <t>https://data.stats.gov.cn/</t>
        </is>
      </c>
      <c r="J11" s="46" t="inlineStr">
        <is>
          <t>季度数据落季度末月；能繁母猪仅保留 3000—5000 万头口径区间值，Wind 异口径值已剔除</t>
        </is>
      </c>
    </row>
    <row r="12" ht="22" customHeight="1">
      <c r="A12" s="66" t="n">
        <v>45536</v>
      </c>
      <c r="B12" s="62" t="n">
        <v>42694</v>
      </c>
      <c r="C12" s="62" t="n"/>
      <c r="D12" s="62" t="n">
        <v>15635</v>
      </c>
      <c r="E12" s="62" t="n"/>
      <c r="F12" s="62" t="n"/>
      <c r="G12" s="62" t="n"/>
      <c r="H12" s="46" t="inlineStr">
        <is>
          <t>国家统计局/农业农村部（Wind 采集）</t>
        </is>
      </c>
      <c r="I12" s="46" t="inlineStr">
        <is>
          <t>https://data.stats.gov.cn/</t>
        </is>
      </c>
      <c r="J12" s="46" t="inlineStr">
        <is>
          <t>季度数据落季度末月；能繁母猪仅保留 3000—5000 万头口径区间值，Wind 异口径值已剔除</t>
        </is>
      </c>
    </row>
    <row r="13" ht="22" customHeight="1">
      <c r="A13" s="66" t="n">
        <v>45444</v>
      </c>
      <c r="B13" s="62" t="n">
        <v>41533</v>
      </c>
      <c r="C13" s="62" t="n"/>
      <c r="D13" s="62" t="n">
        <v>16940</v>
      </c>
      <c r="E13" s="62" t="n"/>
      <c r="F13" s="62" t="n"/>
      <c r="G13" s="62" t="n"/>
      <c r="H13" s="46" t="inlineStr">
        <is>
          <t>国家统计局/农业农村部（Wind 采集）</t>
        </is>
      </c>
      <c r="I13" s="46" t="inlineStr">
        <is>
          <t>https://data.stats.gov.cn/</t>
        </is>
      </c>
      <c r="J13" s="46" t="inlineStr">
        <is>
          <t>季度数据落季度末月；能繁母猪仅保留 3000—5000 万头口径区间值，Wind 异口径值已剔除</t>
        </is>
      </c>
    </row>
    <row r="14" ht="22" customHeight="1">
      <c r="A14" s="66" t="n">
        <v>45352</v>
      </c>
      <c r="B14" s="62" t="n">
        <v>40850</v>
      </c>
      <c r="C14" s="62" t="n"/>
      <c r="D14" s="62" t="n">
        <v>19455</v>
      </c>
      <c r="E14" s="62" t="n"/>
      <c r="F14" s="62" t="n"/>
      <c r="G14" s="62" t="n"/>
      <c r="H14" s="46" t="inlineStr">
        <is>
          <t>国家统计局/农业农村部（Wind 采集）</t>
        </is>
      </c>
      <c r="I14" s="46" t="inlineStr">
        <is>
          <t>https://data.stats.gov.cn/</t>
        </is>
      </c>
      <c r="J14" s="46" t="inlineStr">
        <is>
          <t>季度数据落季度末月；能繁母猪仅保留 3000—5000 万头口径区间值，Wind 异口径值已剔除</t>
        </is>
      </c>
    </row>
    <row r="15" ht="22" customHeight="1">
      <c r="A15" s="66" t="n">
        <v>45261</v>
      </c>
      <c r="B15" s="62" t="n">
        <v>43422</v>
      </c>
      <c r="C15" s="62" t="n"/>
      <c r="D15" s="62" t="n">
        <v>18939</v>
      </c>
      <c r="E15" s="62" t="n">
        <v>108068720</v>
      </c>
      <c r="F15" s="62" t="n"/>
      <c r="G15" s="62" t="n"/>
      <c r="H15" s="46" t="inlineStr">
        <is>
          <t>国家统计局/农业农村部（Wind 采集）</t>
        </is>
      </c>
      <c r="I15" s="46" t="inlineStr">
        <is>
          <t>https://data.stats.gov.cn/</t>
        </is>
      </c>
      <c r="J15" s="46" t="inlineStr">
        <is>
          <t>季度数据落季度末月；能繁母猪仅保留 3000—5000 万头口径区间值，Wind 异口径值已剔除；肉鸡为父母代年末存栏(只)</t>
        </is>
      </c>
    </row>
    <row r="16" ht="22" customHeight="1">
      <c r="A16" s="66" t="n">
        <v>45170</v>
      </c>
      <c r="B16" s="62" t="n">
        <v>44229</v>
      </c>
      <c r="C16" s="62" t="n"/>
      <c r="D16" s="62" t="n">
        <v>16175</v>
      </c>
      <c r="E16" s="62" t="n"/>
      <c r="F16" s="62" t="n"/>
      <c r="G16" s="62" t="n"/>
      <c r="H16" s="46" t="inlineStr">
        <is>
          <t>国家统计局/农业农村部（Wind 采集）</t>
        </is>
      </c>
      <c r="I16" s="46" t="inlineStr">
        <is>
          <t>https://data.stats.gov.cn/</t>
        </is>
      </c>
      <c r="J16" s="46" t="inlineStr">
        <is>
          <t>季度数据落季度末月；能繁母猪仅保留 3000—5000 万头口径区间值，Wind 异口径值已剔除</t>
        </is>
      </c>
    </row>
    <row r="17" ht="22" customHeight="1">
      <c r="A17" s="66" t="n">
        <v>45078</v>
      </c>
      <c r="B17" s="62" t="n">
        <v>43517</v>
      </c>
      <c r="C17" s="62" t="n"/>
      <c r="D17" s="62" t="n">
        <v>17649</v>
      </c>
      <c r="E17" s="62" t="n"/>
      <c r="F17" s="62" t="n"/>
      <c r="G17" s="62" t="n"/>
      <c r="H17" s="46" t="inlineStr">
        <is>
          <t>国家统计局/农业农村部（Wind 采集）</t>
        </is>
      </c>
      <c r="I17" s="46" t="inlineStr">
        <is>
          <t>https://data.stats.gov.cn/</t>
        </is>
      </c>
      <c r="J17" s="46" t="inlineStr">
        <is>
          <t>季度数据落季度末月；能繁母猪仅保留 3000—5000 万头口径区间值，Wind 异口径值已剔除</t>
        </is>
      </c>
    </row>
    <row r="18" ht="22" customHeight="1">
      <c r="A18" s="66" t="n">
        <v>44986</v>
      </c>
      <c r="B18" s="62" t="n">
        <v>43094</v>
      </c>
      <c r="C18" s="62" t="n"/>
      <c r="D18" s="62" t="n">
        <v>19899</v>
      </c>
      <c r="E18" s="62" t="n"/>
      <c r="F18" s="62" t="n"/>
      <c r="G18" s="62" t="n"/>
      <c r="H18" s="46" t="inlineStr">
        <is>
          <t>国家统计局/农业农村部（Wind 采集）</t>
        </is>
      </c>
      <c r="I18" s="46" t="inlineStr">
        <is>
          <t>https://data.stats.gov.cn/</t>
        </is>
      </c>
      <c r="J18" s="46" t="inlineStr">
        <is>
          <t>季度数据落季度末月；能繁母猪仅保留 3000—5000 万头口径区间值，Wind 异口径值已剔除</t>
        </is>
      </c>
    </row>
    <row r="19" ht="22" customHeight="1">
      <c r="A19" s="66" t="n">
        <v>44896</v>
      </c>
      <c r="B19" s="62" t="n">
        <v>45256</v>
      </c>
      <c r="C19" s="62" t="n"/>
      <c r="D19" s="62" t="n">
        <v>17965</v>
      </c>
      <c r="E19" s="62" t="n">
        <v>113811164</v>
      </c>
      <c r="F19" s="62" t="n"/>
      <c r="G19" s="62" t="n"/>
      <c r="H19" s="46" t="inlineStr">
        <is>
          <t>国家统计局/农业农村部（Wind 采集）</t>
        </is>
      </c>
      <c r="I19" s="46" t="inlineStr">
        <is>
          <t>https://data.stats.gov.cn/</t>
        </is>
      </c>
      <c r="J19" s="46" t="inlineStr">
        <is>
          <t>季度数据落季度末月；能繁母猪仅保留 3000—5000 万头口径区间值，Wind 异口径值已剔除；肉鸡为父母代年末存栏(只)</t>
        </is>
      </c>
    </row>
    <row r="20" ht="22" customHeight="1">
      <c r="A20" s="66" t="n">
        <v>44805</v>
      </c>
      <c r="B20" s="62" t="n">
        <v>44394</v>
      </c>
      <c r="C20" s="62" t="n"/>
      <c r="D20" s="62" t="n">
        <v>15443</v>
      </c>
      <c r="E20" s="62" t="n"/>
      <c r="F20" s="62" t="n"/>
      <c r="G20" s="62" t="n"/>
      <c r="H20" s="46" t="inlineStr">
        <is>
          <t>国家统计局/农业农村部（Wind 采集）</t>
        </is>
      </c>
      <c r="I20" s="46" t="inlineStr">
        <is>
          <t>https://data.stats.gov.cn/</t>
        </is>
      </c>
      <c r="J20" s="46" t="inlineStr">
        <is>
          <t>季度数据落季度末月；能繁母猪仅保留 3000—5000 万头口径区间值，Wind 异口径值已剔除</t>
        </is>
      </c>
    </row>
    <row r="21" ht="22" customHeight="1">
      <c r="A21" s="66" t="n">
        <v>44713</v>
      </c>
      <c r="B21" s="62" t="n">
        <v>43057</v>
      </c>
      <c r="C21" s="62" t="n"/>
      <c r="D21" s="62" t="n">
        <v>17021</v>
      </c>
      <c r="E21" s="62" t="n"/>
      <c r="F21" s="62" t="n"/>
      <c r="G21" s="62" t="n"/>
      <c r="H21" s="46" t="inlineStr">
        <is>
          <t>国家统计局/农业农村部（Wind 采集）</t>
        </is>
      </c>
      <c r="I21" s="46" t="inlineStr">
        <is>
          <t>https://data.stats.gov.cn/</t>
        </is>
      </c>
      <c r="J21" s="46" t="inlineStr">
        <is>
          <t>季度数据落季度末月；能繁母猪仅保留 3000—5000 万头口径区间值，Wind 异口径值已剔除</t>
        </is>
      </c>
    </row>
    <row r="22" ht="22" customHeight="1">
      <c r="A22" s="66" t="n">
        <v>44652</v>
      </c>
      <c r="B22" s="62" t="n">
        <v>42400</v>
      </c>
      <c r="C22" s="62" t="n"/>
      <c r="D22" s="62" t="n"/>
      <c r="E22" s="62" t="n"/>
      <c r="F22" s="62" t="n"/>
      <c r="G22" s="62" t="n"/>
      <c r="H22" s="46" t="inlineStr">
        <is>
          <t>国家统计局/农业农村部（Wind 采集）</t>
        </is>
      </c>
      <c r="I22" s="46" t="inlineStr">
        <is>
          <t>https://data.stats.gov.cn/</t>
        </is>
      </c>
      <c r="J22" s="46" t="inlineStr">
        <is>
          <t>季度数据落季度末月；能繁母猪仅保留 3000—5000 万头口径区间值，Wind 异口径值已剔除</t>
        </is>
      </c>
    </row>
    <row r="23" ht="22" customHeight="1">
      <c r="A23" s="66" t="n">
        <v>44621</v>
      </c>
      <c r="B23" s="62" t="n">
        <v>42253</v>
      </c>
      <c r="C23" s="62" t="n"/>
      <c r="D23" s="62" t="n">
        <v>19566</v>
      </c>
      <c r="E23" s="62" t="n"/>
      <c r="F23" s="62" t="n"/>
      <c r="G23" s="62" t="n"/>
      <c r="H23" s="46" t="inlineStr">
        <is>
          <t>国家统计局/农业农村部（Wind 采集）</t>
        </is>
      </c>
      <c r="I23" s="46" t="inlineStr">
        <is>
          <t>https://data.stats.gov.cn/</t>
        </is>
      </c>
      <c r="J23" s="46" t="inlineStr">
        <is>
          <t>季度数据落季度末月；能繁母猪仅保留 3000—5000 万头口径区间值，Wind 异口径值已剔除</t>
        </is>
      </c>
    </row>
    <row r="24" ht="22" customHeight="1">
      <c r="A24" s="66" t="n">
        <v>44531</v>
      </c>
      <c r="B24" s="62" t="n">
        <v>44922</v>
      </c>
      <c r="C24" s="62" t="n"/>
      <c r="D24" s="62" t="n">
        <v>17935</v>
      </c>
      <c r="E24" s="62" t="n">
        <v>99229814</v>
      </c>
      <c r="F24" s="62" t="n"/>
      <c r="G24" s="62" t="n"/>
      <c r="H24" s="46" t="inlineStr">
        <is>
          <t>国家统计局/农业农村部（Wind 采集）</t>
        </is>
      </c>
      <c r="I24" s="46" t="inlineStr">
        <is>
          <t>https://data.stats.gov.cn/</t>
        </is>
      </c>
      <c r="J24" s="46" t="inlineStr">
        <is>
          <t>季度数据落季度末月；能繁母猪仅保留 3000—5000 万头口径区间值，Wind 异口径值已剔除；肉鸡为父母代年末存栏(只)</t>
        </is>
      </c>
    </row>
    <row r="25">
      <c r="A25" s="68" t="n">
        <v>44440</v>
      </c>
      <c r="B25" t="n">
        <v>43764</v>
      </c>
      <c r="D25" t="n">
        <v>15451</v>
      </c>
      <c r="H25" t="inlineStr">
        <is>
          <t>国家统计局/农业农村部（Wind 采集）</t>
        </is>
      </c>
      <c r="I25" t="inlineStr">
        <is>
          <t>https://data.stats.gov.cn/</t>
        </is>
      </c>
      <c r="J25" t="inlineStr">
        <is>
          <t>季度数据落季度末月；能繁母猪仅保留 3000—5000 万头口径区间值，Wind 异口径值已剔除</t>
        </is>
      </c>
    </row>
    <row r="26">
      <c r="A26" s="68" t="n">
        <v>44348</v>
      </c>
      <c r="B26" t="n">
        <v>43911</v>
      </c>
      <c r="C26" t="n">
        <v>4564</v>
      </c>
      <c r="D26" t="n">
        <v>16599</v>
      </c>
      <c r="H26" t="inlineStr">
        <is>
          <t>国家统计局/农业农村部（Wind 采集）</t>
        </is>
      </c>
      <c r="I26" t="inlineStr">
        <is>
          <t>https://data.stats.gov.cn/</t>
        </is>
      </c>
      <c r="J26" t="inlineStr">
        <is>
          <t>季度数据落季度末月；能繁母猪仅保留 3000—5000 万头口径区间值，Wind 异口径值已剔除</t>
        </is>
      </c>
    </row>
    <row r="27">
      <c r="A27" s="68" t="n">
        <v>44256</v>
      </c>
      <c r="B27" t="n">
        <v>41595</v>
      </c>
      <c r="C27" t="n">
        <v>4318</v>
      </c>
      <c r="D27" t="n">
        <v>17143</v>
      </c>
      <c r="H27" t="inlineStr">
        <is>
          <t>国家统计局/农业农村部（Wind 采集）</t>
        </is>
      </c>
      <c r="I27" t="inlineStr">
        <is>
          <t>https://data.stats.gov.cn/</t>
        </is>
      </c>
      <c r="J27" t="inlineStr">
        <is>
          <t>季度数据落季度末月；能繁母猪仅保留 3000—5000 万头口径区间值，Wind 异口径值已剔除</t>
        </is>
      </c>
    </row>
    <row r="28">
      <c r="A28" s="68" t="n">
        <v>44166</v>
      </c>
      <c r="B28" t="n">
        <v>40650</v>
      </c>
      <c r="D28" t="n">
        <v>16518</v>
      </c>
      <c r="E28" t="n">
        <v>91301122</v>
      </c>
      <c r="H28" t="inlineStr">
        <is>
          <t>国家统计局/农业农村部（Wind 采集）</t>
        </is>
      </c>
      <c r="I28" t="inlineStr">
        <is>
          <t>https://data.stats.gov.cn/</t>
        </is>
      </c>
      <c r="J28" t="inlineStr">
        <is>
          <t>季度数据落季度末月；能繁母猪仅保留 3000—5000 万头口径区间值，Wind 异口径值已剔除；肉鸡为父母代年末存栏(只)</t>
        </is>
      </c>
    </row>
    <row r="29">
      <c r="A29" s="68" t="n">
        <v>44105</v>
      </c>
      <c r="B29" t="n">
        <v>38700</v>
      </c>
      <c r="H29" t="inlineStr">
        <is>
          <t>国家统计局/农业农村部（Wind 采集）</t>
        </is>
      </c>
      <c r="I29" t="inlineStr">
        <is>
          <t>https://data.stats.gov.cn/</t>
        </is>
      </c>
      <c r="J29" t="inlineStr">
        <is>
          <t>季度数据落季度末月；能繁母猪仅保留 3000—5000 万头口径区间值，Wind 异口径值已剔除</t>
        </is>
      </c>
    </row>
    <row r="30">
      <c r="A30" s="68" t="n">
        <v>44075</v>
      </c>
      <c r="B30" t="n">
        <v>37039</v>
      </c>
      <c r="C30" t="n">
        <v>3822</v>
      </c>
      <c r="D30" t="n">
        <v>11083</v>
      </c>
      <c r="H30" t="inlineStr">
        <is>
          <t>国家统计局/农业农村部（Wind 采集）</t>
        </is>
      </c>
      <c r="I30" t="inlineStr">
        <is>
          <t>https://data.stats.gov.cn/</t>
        </is>
      </c>
      <c r="J30" t="inlineStr">
        <is>
          <t>季度数据落季度末月；能繁母猪仅保留 3000—5000 万头口径区间值，Wind 异口径值已剔除</t>
        </is>
      </c>
    </row>
    <row r="31">
      <c r="A31" s="68" t="n">
        <v>43983</v>
      </c>
      <c r="B31" t="n">
        <v>33996</v>
      </c>
      <c r="C31" t="n">
        <v>3629</v>
      </c>
      <c r="D31" t="n">
        <v>11974</v>
      </c>
      <c r="H31" t="inlineStr">
        <is>
          <t>国家统计局/农业农村部（Wind 采集）</t>
        </is>
      </c>
      <c r="I31" t="inlineStr">
        <is>
          <t>https://data.stats.gov.cn/</t>
        </is>
      </c>
      <c r="J31" t="inlineStr">
        <is>
          <t>季度数据落季度末月；能繁母猪仅保留 3000—5000 万头口径区间值，Wind 异口径值已剔除</t>
        </is>
      </c>
    </row>
    <row r="32">
      <c r="A32" s="68" t="n">
        <v>43891</v>
      </c>
      <c r="D32" t="n">
        <v>13129</v>
      </c>
      <c r="H32" t="inlineStr">
        <is>
          <t>国家统计局/农业农村部（Wind 采集）</t>
        </is>
      </c>
      <c r="I32" t="inlineStr">
        <is>
          <t>https://data.stats.gov.cn/</t>
        </is>
      </c>
      <c r="J32" t="inlineStr">
        <is>
          <t>季度数据落季度末月；能繁母猪仅保留 3000—5000 万头口径区间值，Wind 异口径值已剔除</t>
        </is>
      </c>
    </row>
    <row r="33">
      <c r="A33" s="68" t="n">
        <v>43800</v>
      </c>
      <c r="D33" t="n">
        <v>13441</v>
      </c>
      <c r="E33" t="n">
        <v>94855036</v>
      </c>
      <c r="H33" t="inlineStr">
        <is>
          <t>国家统计局/农业农村部（Wind 采集）</t>
        </is>
      </c>
      <c r="I33" t="inlineStr">
        <is>
          <t>https://data.stats.gov.cn/</t>
        </is>
      </c>
      <c r="J33" t="inlineStr">
        <is>
          <t>季度数据落季度末月；能繁母猪仅保留 3000—5000 万头口径区间值，Wind 异口径值已剔除；肉鸡为父母代年末存栏(只)</t>
        </is>
      </c>
    </row>
    <row r="34">
      <c r="A34" s="68" t="n">
        <v>43770</v>
      </c>
      <c r="B34" t="n">
        <v>19457</v>
      </c>
      <c r="H34" t="inlineStr">
        <is>
          <t>国家统计局/农业农村部（Wind 采集）</t>
        </is>
      </c>
      <c r="I34" t="inlineStr">
        <is>
          <t>https://data.stats.gov.cn/</t>
        </is>
      </c>
      <c r="J34" t="inlineStr">
        <is>
          <t>季度数据落季度末月；能繁母猪仅保留 3000—5000 万头口径区间值，Wind 异口径值已剔除</t>
        </is>
      </c>
    </row>
    <row r="35">
      <c r="A35" s="68" t="n">
        <v>43739</v>
      </c>
      <c r="B35" t="n">
        <v>19075</v>
      </c>
      <c r="H35" t="inlineStr">
        <is>
          <t>国家统计局/农业农村部（Wind 采集）</t>
        </is>
      </c>
      <c r="I35" t="inlineStr">
        <is>
          <t>https://data.stats.gov.cn/</t>
        </is>
      </c>
      <c r="J35" t="inlineStr">
        <is>
          <t>季度数据落季度末月；能繁母猪仅保留 3000—5000 万头口径区间值，Wind 异口径值已剔除</t>
        </is>
      </c>
    </row>
    <row r="36">
      <c r="A36" s="68" t="n">
        <v>43709</v>
      </c>
      <c r="B36" t="n">
        <v>19190</v>
      </c>
      <c r="D36" t="n">
        <v>9632</v>
      </c>
      <c r="H36" t="inlineStr">
        <is>
          <t>国家统计局/农业农村部（Wind 采集）</t>
        </is>
      </c>
      <c r="I36" t="inlineStr">
        <is>
          <t>https://data.stats.gov.cn/</t>
        </is>
      </c>
      <c r="J36" t="inlineStr">
        <is>
          <t>季度数据落季度末月；能繁母猪仅保留 3000—5000 万头口径区间值，Wind 异口径值已剔除</t>
        </is>
      </c>
    </row>
    <row r="37">
      <c r="A37" s="68" t="n">
        <v>43678</v>
      </c>
      <c r="B37" t="n">
        <v>19783</v>
      </c>
      <c r="H37" t="inlineStr">
        <is>
          <t>国家统计局/农业农村部（Wind 采集）</t>
        </is>
      </c>
      <c r="I37" t="inlineStr">
        <is>
          <t>https://data.stats.gov.cn/</t>
        </is>
      </c>
      <c r="J37" t="inlineStr">
        <is>
          <t>季度数据落季度末月；能繁母猪仅保留 3000—5000 万头口径区间值，Wind 异口径值已剔除</t>
        </is>
      </c>
    </row>
    <row r="38">
      <c r="A38" s="68" t="n">
        <v>43647</v>
      </c>
      <c r="B38" t="n">
        <v>21932</v>
      </c>
      <c r="H38" t="inlineStr">
        <is>
          <t>国家统计局/农业农村部（Wind 采集）</t>
        </is>
      </c>
      <c r="I38" t="inlineStr">
        <is>
          <t>https://data.stats.gov.cn/</t>
        </is>
      </c>
      <c r="J38" t="inlineStr">
        <is>
          <t>季度数据落季度末月；能繁母猪仅保留 3000—5000 万头口径区间值，Wind 异口径值已剔除</t>
        </is>
      </c>
    </row>
    <row r="39">
      <c r="A39" s="68" t="n">
        <v>43617</v>
      </c>
      <c r="B39" t="n">
        <v>24207</v>
      </c>
      <c r="D39" t="n">
        <v>12504</v>
      </c>
      <c r="H39" t="inlineStr">
        <is>
          <t>国家统计局/农业农村部（Wind 采集）</t>
        </is>
      </c>
      <c r="I39" t="inlineStr">
        <is>
          <t>https://data.stats.gov.cn/</t>
        </is>
      </c>
      <c r="J39" t="inlineStr">
        <is>
          <t>季度数据落季度末月；能繁母猪仅保留 3000—5000 万头口径区间值，Wind 异口径值已剔除</t>
        </is>
      </c>
    </row>
    <row r="40">
      <c r="A40" s="68" t="n">
        <v>43586</v>
      </c>
      <c r="B40" t="n">
        <v>25508</v>
      </c>
      <c r="H40" t="inlineStr">
        <is>
          <t>国家统计局/农业农村部（Wind 采集）</t>
        </is>
      </c>
      <c r="I40" t="inlineStr">
        <is>
          <t>https://data.stats.gov.cn/</t>
        </is>
      </c>
      <c r="J40" t="inlineStr">
        <is>
          <t>季度数据落季度末月；能繁母猪仅保留 3000—5000 万头口径区间值，Wind 异口径值已剔除</t>
        </is>
      </c>
    </row>
    <row r="41">
      <c r="A41" s="68" t="n">
        <v>43556</v>
      </c>
      <c r="B41" t="n">
        <v>26626</v>
      </c>
      <c r="H41" t="inlineStr">
        <is>
          <t>国家统计局/农业农村部（Wind 采集）</t>
        </is>
      </c>
      <c r="I41" t="inlineStr">
        <is>
          <t>https://data.stats.gov.cn/</t>
        </is>
      </c>
      <c r="J41" t="inlineStr">
        <is>
          <t>季度数据落季度末月；能繁母猪仅保留 3000—5000 万头口径区间值，Wind 异口径值已剔除</t>
        </is>
      </c>
    </row>
    <row r="42">
      <c r="A42" s="68" t="n">
        <v>43525</v>
      </c>
      <c r="B42" t="n">
        <v>27421</v>
      </c>
      <c r="D42" t="n">
        <v>18842</v>
      </c>
      <c r="H42" t="inlineStr">
        <is>
          <t>国家统计局/农业农村部（Wind 采集）</t>
        </is>
      </c>
      <c r="I42" t="inlineStr">
        <is>
          <t>https://data.stats.gov.cn/</t>
        </is>
      </c>
      <c r="J42" t="inlineStr">
        <is>
          <t>季度数据落季度末月；能繁母猪仅保留 3000—5000 万头口径区间值，Wind 异口径值已剔除</t>
        </is>
      </c>
    </row>
    <row r="43">
      <c r="A43" s="68" t="n">
        <v>43497</v>
      </c>
      <c r="B43" t="n">
        <v>27754</v>
      </c>
      <c r="H43" t="inlineStr">
        <is>
          <t>国家统计局/农业农村部（Wind 采集）</t>
        </is>
      </c>
      <c r="I43" t="inlineStr">
        <is>
          <t>https://data.stats.gov.cn/</t>
        </is>
      </c>
      <c r="J43" t="inlineStr">
        <is>
          <t>季度数据落季度末月；能繁母猪仅保留 3000—5000 万头口径区间值，Wind 异口径值已剔除</t>
        </is>
      </c>
    </row>
    <row r="44">
      <c r="A44" s="68" t="n">
        <v>43466</v>
      </c>
      <c r="B44" t="n">
        <v>29338</v>
      </c>
      <c r="H44" t="inlineStr">
        <is>
          <t>国家统计局/农业农村部（Wind 采集）</t>
        </is>
      </c>
      <c r="I44" t="inlineStr">
        <is>
          <t>https://data.stats.gov.cn/</t>
        </is>
      </c>
      <c r="J44" t="inlineStr">
        <is>
          <t>季度数据落季度末月；能繁母猪仅保留 3000—5000 万头口径区间值，Wind 异口径值已剔除</t>
        </is>
      </c>
    </row>
    <row r="45">
      <c r="A45" s="68" t="n">
        <v>43435</v>
      </c>
      <c r="B45" t="n">
        <v>31111</v>
      </c>
      <c r="D45" t="n">
        <v>19803</v>
      </c>
      <c r="E45" t="n">
        <v>82885482</v>
      </c>
      <c r="H45" t="inlineStr">
        <is>
          <t>国家统计局/农业农村部（Wind 采集）</t>
        </is>
      </c>
      <c r="I45" t="inlineStr">
        <is>
          <t>https://data.stats.gov.cn/</t>
        </is>
      </c>
      <c r="J45" t="inlineStr">
        <is>
          <t>季度数据落季度末月；能繁母猪仅保留 3000—5000 万头口径区间值，Wind 异口径值已剔除；肉鸡为父母代年末存栏(只)</t>
        </is>
      </c>
    </row>
    <row r="46">
      <c r="A46" s="68" t="n">
        <v>43405</v>
      </c>
      <c r="B46" t="n">
        <v>32306</v>
      </c>
      <c r="H46" t="inlineStr">
        <is>
          <t>国家统计局/农业农村部（Wind 采集）</t>
        </is>
      </c>
      <c r="I46" t="inlineStr">
        <is>
          <t>https://data.stats.gov.cn/</t>
        </is>
      </c>
      <c r="J46" t="inlineStr">
        <is>
          <t>季度数据落季度末月；能繁母猪仅保留 3000—5000 万头口径区间值，Wind 异口径值已剔除</t>
        </is>
      </c>
    </row>
    <row r="47">
      <c r="A47" s="68" t="n">
        <v>43374</v>
      </c>
      <c r="B47" t="n">
        <v>32534</v>
      </c>
      <c r="H47" t="inlineStr">
        <is>
          <t>国家统计局/农业农村部（Wind 采集）</t>
        </is>
      </c>
      <c r="I47" t="inlineStr">
        <is>
          <t>https://data.stats.gov.cn/</t>
        </is>
      </c>
      <c r="J47" t="inlineStr">
        <is>
          <t>季度数据落季度末月；能繁母猪仅保留 3000—5000 万头口径区间值，Wind 异口径值已剔除</t>
        </is>
      </c>
    </row>
    <row r="48">
      <c r="A48" s="68" t="n">
        <v>43344</v>
      </c>
      <c r="B48" t="n">
        <v>32501</v>
      </c>
      <c r="D48" t="n">
        <v>16157</v>
      </c>
      <c r="H48" t="inlineStr">
        <is>
          <t>国家统计局/农业农村部（Wind 采集）</t>
        </is>
      </c>
      <c r="I48" t="inlineStr">
        <is>
          <t>https://data.stats.gov.cn/</t>
        </is>
      </c>
      <c r="J48" t="inlineStr">
        <is>
          <t>季度数据落季度末月；能繁母猪仅保留 3000—5000 万头口径区间值，Wind 异口径值已剔除</t>
        </is>
      </c>
    </row>
    <row r="49">
      <c r="A49" s="68" t="n">
        <v>43313</v>
      </c>
      <c r="B49" t="n">
        <v>32243</v>
      </c>
      <c r="H49" t="inlineStr">
        <is>
          <t>国家统计局/农业农村部（Wind 采集）</t>
        </is>
      </c>
      <c r="I49" t="inlineStr">
        <is>
          <t>https://data.stats.gov.cn/</t>
        </is>
      </c>
      <c r="J49" t="inlineStr">
        <is>
          <t>季度数据落季度末月；能繁母猪仅保留 3000—5000 万头口径区间值，Wind 异口径值已剔除</t>
        </is>
      </c>
    </row>
    <row r="50">
      <c r="A50" s="68" t="n">
        <v>43282</v>
      </c>
      <c r="B50" t="n">
        <v>32340</v>
      </c>
      <c r="H50" t="inlineStr">
        <is>
          <t>国家统计局/农业农村部（Wind 采集）</t>
        </is>
      </c>
      <c r="I50" t="inlineStr">
        <is>
          <t>https://data.stats.gov.cn/</t>
        </is>
      </c>
      <c r="J50" t="inlineStr">
        <is>
          <t>季度数据落季度末月；能繁母猪仅保留 3000—5000 万头口径区间值，Wind 异口径值已剔除</t>
        </is>
      </c>
    </row>
    <row r="51">
      <c r="A51" s="68" t="n">
        <v>43252</v>
      </c>
      <c r="B51" t="n">
        <v>32601</v>
      </c>
      <c r="D51" t="n">
        <v>13439</v>
      </c>
      <c r="H51" t="inlineStr">
        <is>
          <t>国家统计局/农业农村部（Wind 采集）</t>
        </is>
      </c>
      <c r="I51" t="inlineStr">
        <is>
          <t>https://data.stats.gov.cn/</t>
        </is>
      </c>
      <c r="J51" t="inlineStr">
        <is>
          <t>季度数据落季度末月；能繁母猪仅保留 3000—5000 万头口径区间值，Wind 异口径值已剔除</t>
        </is>
      </c>
    </row>
    <row r="52">
      <c r="A52" s="68" t="n">
        <v>43221</v>
      </c>
      <c r="B52" t="n">
        <v>32997</v>
      </c>
      <c r="H52" t="inlineStr">
        <is>
          <t>国家统计局/农业农村部（Wind 采集）</t>
        </is>
      </c>
      <c r="I52" t="inlineStr">
        <is>
          <t>https://data.stats.gov.cn/</t>
        </is>
      </c>
      <c r="J52" t="inlineStr">
        <is>
          <t>季度数据落季度末月；能繁母猪仅保留 3000—5000 万头口径区间值，Wind 异口径值已剔除</t>
        </is>
      </c>
    </row>
    <row r="53">
      <c r="A53" s="68" t="n">
        <v>43191</v>
      </c>
      <c r="B53" t="n">
        <v>33636</v>
      </c>
      <c r="H53" t="inlineStr">
        <is>
          <t>国家统计局/农业农村部（Wind 采集）</t>
        </is>
      </c>
      <c r="I53" t="inlineStr">
        <is>
          <t>https://data.stats.gov.cn/</t>
        </is>
      </c>
      <c r="J53" t="inlineStr">
        <is>
          <t>季度数据落季度末月；能繁母猪仅保留 3000—5000 万头口径区间值，Wind 异口径值已剔除</t>
        </is>
      </c>
    </row>
    <row r="54">
      <c r="A54" s="68" t="n">
        <v>43160</v>
      </c>
      <c r="B54" t="n">
        <v>33907</v>
      </c>
      <c r="D54" t="n">
        <v>19983</v>
      </c>
      <c r="H54" t="inlineStr">
        <is>
          <t>国家统计局/农业农村部（Wind 采集）</t>
        </is>
      </c>
      <c r="I54" t="inlineStr">
        <is>
          <t>https://data.stats.gov.cn/</t>
        </is>
      </c>
      <c r="J54" t="inlineStr">
        <is>
          <t>季度数据落季度末月；能繁母猪仅保留 3000—5000 万头口径区间值，Wind 异口径值已剔除</t>
        </is>
      </c>
    </row>
    <row r="55">
      <c r="A55" s="68" t="n">
        <v>43132</v>
      </c>
      <c r="B55" t="n">
        <v>33439</v>
      </c>
      <c r="H55" t="inlineStr">
        <is>
          <t>国家统计局/农业农村部（Wind 采集）</t>
        </is>
      </c>
      <c r="I55" t="inlineStr">
        <is>
          <t>https://data.stats.gov.cn/</t>
        </is>
      </c>
      <c r="J55" t="inlineStr">
        <is>
          <t>季度数据落季度末月；能繁母猪仅保留 3000—5000 万头口径区间值，Wind 异口径值已剔除</t>
        </is>
      </c>
    </row>
    <row r="56">
      <c r="A56" s="68" t="n">
        <v>43101</v>
      </c>
      <c r="B56" t="n">
        <v>33743</v>
      </c>
      <c r="H56" t="inlineStr">
        <is>
          <t>国家统计局/农业农村部（Wind 采集）</t>
        </is>
      </c>
      <c r="I56" t="inlineStr">
        <is>
          <t>https://data.stats.gov.cn/</t>
        </is>
      </c>
      <c r="J56" t="inlineStr">
        <is>
          <t>季度数据落季度末月；能繁母猪仅保留 3000—5000 万头口径区间值，Wind 异口径值已剔除</t>
        </is>
      </c>
    </row>
    <row r="57">
      <c r="A57" s="68" t="n">
        <v>43070</v>
      </c>
      <c r="B57" t="n">
        <v>34153</v>
      </c>
      <c r="D57" t="n">
        <v>20637</v>
      </c>
      <c r="E57" t="n">
        <v>89359800</v>
      </c>
      <c r="H57" t="inlineStr">
        <is>
          <t>国家统计局/农业农村部（Wind 采集）</t>
        </is>
      </c>
      <c r="I57" t="inlineStr">
        <is>
          <t>https://data.stats.gov.cn/</t>
        </is>
      </c>
      <c r="J57" t="inlineStr">
        <is>
          <t>季度数据落季度末月；能繁母猪仅保留 3000—5000 万头口径区间值，Wind 异口径值已剔除；肉鸡为父母代年末存栏(只)</t>
        </is>
      </c>
    </row>
    <row r="58">
      <c r="A58" s="68" t="n">
        <v>43040</v>
      </c>
      <c r="B58" t="n">
        <v>34886</v>
      </c>
      <c r="H58" t="inlineStr">
        <is>
          <t>国家统计局/农业农村部（Wind 采集）</t>
        </is>
      </c>
      <c r="I58" t="inlineStr">
        <is>
          <t>https://data.stats.gov.cn/</t>
        </is>
      </c>
      <c r="J58" t="inlineStr">
        <is>
          <t>季度数据落季度末月；能繁母猪仅保留 3000—5000 万头口径区间值，Wind 异口径值已剔除</t>
        </is>
      </c>
    </row>
    <row r="59">
      <c r="A59" s="68" t="n">
        <v>43009</v>
      </c>
      <c r="B59" t="n">
        <v>34921</v>
      </c>
      <c r="H59" t="inlineStr">
        <is>
          <t>国家统计局/农业农村部（Wind 采集）</t>
        </is>
      </c>
      <c r="I59" t="inlineStr">
        <is>
          <t>https://data.stats.gov.cn/</t>
        </is>
      </c>
      <c r="J59" t="inlineStr">
        <is>
          <t>季度数据落季度末月；能繁母猪仅保留 3000—5000 万头口径区间值，Wind 异口径值已剔除</t>
        </is>
      </c>
    </row>
    <row r="60">
      <c r="A60" s="68" t="n">
        <v>42979</v>
      </c>
      <c r="B60" t="n">
        <v>34991</v>
      </c>
      <c r="D60" t="n">
        <v>16041</v>
      </c>
      <c r="H60" t="inlineStr">
        <is>
          <t>国家统计局/农业农村部（Wind 采集）</t>
        </is>
      </c>
      <c r="I60" t="inlineStr">
        <is>
          <t>https://data.stats.gov.cn/</t>
        </is>
      </c>
      <c r="J60" t="inlineStr">
        <is>
          <t>季度数据落季度末月；能繁母猪仅保留 3000—5000 万头口径区间值，Wind 异口径值已剔除</t>
        </is>
      </c>
    </row>
    <row r="61">
      <c r="A61" s="68" t="n">
        <v>42948</v>
      </c>
      <c r="B61" t="n">
        <v>35061</v>
      </c>
      <c r="H61" t="inlineStr">
        <is>
          <t>国家统计局/农业农村部（Wind 采集）</t>
        </is>
      </c>
      <c r="I61" t="inlineStr">
        <is>
          <t>https://data.stats.gov.cn/</t>
        </is>
      </c>
      <c r="J61" t="inlineStr">
        <is>
          <t>季度数据落季度末月；能繁母猪仅保留 3000—5000 万头口径区间值，Wind 异口径值已剔除</t>
        </is>
      </c>
    </row>
    <row r="62">
      <c r="A62" s="68" t="n">
        <v>42917</v>
      </c>
      <c r="B62" t="n">
        <v>35237</v>
      </c>
      <c r="H62" t="inlineStr">
        <is>
          <t>国家统计局/农业农村部（Wind 采集）</t>
        </is>
      </c>
      <c r="I62" t="inlineStr">
        <is>
          <t>https://data.stats.gov.cn/</t>
        </is>
      </c>
      <c r="J62" t="inlineStr">
        <is>
          <t>季度数据落季度末月；能繁母猪仅保留 3000—5000 万头口径区间值，Wind 异口径值已剔除</t>
        </is>
      </c>
    </row>
    <row r="63">
      <c r="A63" s="68" t="n">
        <v>42887</v>
      </c>
      <c r="B63" t="n">
        <v>35485</v>
      </c>
      <c r="D63" t="n">
        <v>13034</v>
      </c>
      <c r="H63" t="inlineStr">
        <is>
          <t>国家统计局/农业农村部（Wind 采集）</t>
        </is>
      </c>
      <c r="I63" t="inlineStr">
        <is>
          <t>https://data.stats.gov.cn/</t>
        </is>
      </c>
      <c r="J63" t="inlineStr">
        <is>
          <t>季度数据落季度末月；能繁母猪仅保留 3000—5000 万头口径区间值，Wind 异口径值已剔除</t>
        </is>
      </c>
    </row>
    <row r="64">
      <c r="A64" s="68" t="n">
        <v>42856</v>
      </c>
      <c r="B64" t="n">
        <v>35556</v>
      </c>
      <c r="H64" t="inlineStr">
        <is>
          <t>国家统计局/农业农村部（Wind 采集）</t>
        </is>
      </c>
      <c r="I64" t="inlineStr">
        <is>
          <t>https://data.stats.gov.cn/</t>
        </is>
      </c>
      <c r="J64" t="inlineStr">
        <is>
          <t>季度数据落季度末月；能繁母猪仅保留 3000—5000 万头口径区间值，Wind 异口径值已剔除</t>
        </is>
      </c>
    </row>
    <row r="65">
      <c r="A65" s="68" t="n">
        <v>42826</v>
      </c>
      <c r="B65" t="n">
        <v>36097</v>
      </c>
      <c r="H65" t="inlineStr">
        <is>
          <t>国家统计局/农业农村部（Wind 采集）</t>
        </is>
      </c>
      <c r="I65" t="inlineStr">
        <is>
          <t>https://data.stats.gov.cn/</t>
        </is>
      </c>
      <c r="J65" t="inlineStr">
        <is>
          <t>季度数据落季度末月；能繁母猪仅保留 3000—5000 万头口径区间值，Wind 异口径值已剔除</t>
        </is>
      </c>
    </row>
    <row r="66">
      <c r="A66" s="68" t="n">
        <v>42795</v>
      </c>
      <c r="B66" t="n">
        <v>35953</v>
      </c>
      <c r="D66" t="n">
        <v>19149</v>
      </c>
      <c r="H66" t="inlineStr">
        <is>
          <t>国家统计局/农业农村部（Wind 采集）</t>
        </is>
      </c>
      <c r="I66" t="inlineStr">
        <is>
          <t>https://data.stats.gov.cn/</t>
        </is>
      </c>
      <c r="J66" t="inlineStr">
        <is>
          <t>季度数据落季度末月；能繁母猪仅保留 3000—5000 万头口径区间值，Wind 异口径值已剔除</t>
        </is>
      </c>
    </row>
    <row r="67">
      <c r="A67" s="68" t="n">
        <v>42767</v>
      </c>
      <c r="B67" t="n">
        <v>35597</v>
      </c>
      <c r="H67" t="inlineStr">
        <is>
          <t>国家统计局/农业农村部（Wind 采集）</t>
        </is>
      </c>
      <c r="I67" t="inlineStr">
        <is>
          <t>https://data.stats.gov.cn/</t>
        </is>
      </c>
      <c r="J67" t="inlineStr">
        <is>
          <t>季度数据落季度末月；能繁母猪仅保留 3000—5000 万头口径区间值，Wind 异口径值已剔除</t>
        </is>
      </c>
    </row>
    <row r="68">
      <c r="A68" s="68" t="n">
        <v>42736</v>
      </c>
      <c r="B68" t="n">
        <v>35668</v>
      </c>
      <c r="H68" t="inlineStr">
        <is>
          <t>国家统计局/农业农村部（Wind 采集）</t>
        </is>
      </c>
      <c r="I68" t="inlineStr">
        <is>
          <t>https://data.stats.gov.cn/</t>
        </is>
      </c>
      <c r="J68" t="inlineStr">
        <is>
          <t>季度数据落季度末月；能繁母猪仅保留 3000—5000 万头口径区间值，Wind 异口径值已剔除</t>
        </is>
      </c>
    </row>
    <row r="69">
      <c r="A69" s="68" t="n">
        <v>42705</v>
      </c>
      <c r="B69" t="n">
        <v>36733</v>
      </c>
      <c r="D69" t="n">
        <v>20578</v>
      </c>
      <c r="E69" t="n">
        <v>87694451</v>
      </c>
      <c r="H69" t="inlineStr">
        <is>
          <t>国家统计局/农业农村部（Wind 采集）</t>
        </is>
      </c>
      <c r="I69" t="inlineStr">
        <is>
          <t>https://data.stats.gov.cn/</t>
        </is>
      </c>
      <c r="J69" t="inlineStr">
        <is>
          <t>季度数据落季度末月；能繁母猪仅保留 3000—5000 万头口径区间值，Wind 异口径值已剔除；肉鸡为父母代年末存栏(只)</t>
        </is>
      </c>
    </row>
    <row r="70">
      <c r="A70" s="68" t="n">
        <v>42675</v>
      </c>
      <c r="B70" t="n">
        <v>37483</v>
      </c>
      <c r="H70" t="inlineStr">
        <is>
          <t>国家统计局/农业农村部（Wind 采集）</t>
        </is>
      </c>
      <c r="I70" t="inlineStr">
        <is>
          <t>https://data.stats.gov.cn/</t>
        </is>
      </c>
      <c r="J70" t="inlineStr">
        <is>
          <t>季度数据落季度末月；能繁母猪仅保留 3000—5000 万头口径区间值，Wind 异口径值已剔除</t>
        </is>
      </c>
    </row>
    <row r="71">
      <c r="A71" s="68" t="n">
        <v>42644</v>
      </c>
      <c r="B71" t="n">
        <v>37709</v>
      </c>
      <c r="H71" t="inlineStr">
        <is>
          <t>国家统计局/农业农村部（Wind 采集）</t>
        </is>
      </c>
      <c r="I71" t="inlineStr">
        <is>
          <t>https://data.stats.gov.cn/</t>
        </is>
      </c>
      <c r="J71" t="inlineStr">
        <is>
          <t>季度数据落季度末月；能繁母猪仅保留 3000—5000 万头口径区间值，Wind 异口径值已剔除</t>
        </is>
      </c>
    </row>
    <row r="72">
      <c r="A72" s="68" t="n">
        <v>42614</v>
      </c>
      <c r="B72" t="n">
        <v>37709</v>
      </c>
      <c r="D72" t="n">
        <v>15965</v>
      </c>
      <c r="H72" t="inlineStr">
        <is>
          <t>国家统计局/农业农村部（Wind 采集）</t>
        </is>
      </c>
      <c r="I72" t="inlineStr">
        <is>
          <t>https://data.stats.gov.cn/</t>
        </is>
      </c>
      <c r="J72" t="inlineStr">
        <is>
          <t>季度数据落季度末月；能繁母猪仅保留 3000—5000 万头口径区间值，Wind 异口径值已剔除</t>
        </is>
      </c>
    </row>
    <row r="73">
      <c r="A73" s="68" t="n">
        <v>42583</v>
      </c>
      <c r="B73" t="n">
        <v>37671</v>
      </c>
      <c r="H73" t="inlineStr">
        <is>
          <t>国家统计局/农业农村部（Wind 采集）</t>
        </is>
      </c>
      <c r="I73" t="inlineStr">
        <is>
          <t>https://data.stats.gov.cn/</t>
        </is>
      </c>
      <c r="J73" t="inlineStr">
        <is>
          <t>季度数据落季度末月；能繁母猪仅保留 3000—5000 万头口径区间值，Wind 异口径值已剔除</t>
        </is>
      </c>
    </row>
    <row r="74">
      <c r="A74" s="68" t="n">
        <v>42552</v>
      </c>
      <c r="B74" t="n">
        <v>37596</v>
      </c>
      <c r="H74" t="inlineStr">
        <is>
          <t>国家统计局/农业农村部（Wind 采集）</t>
        </is>
      </c>
      <c r="I74" t="inlineStr">
        <is>
          <t>https://data.stats.gov.cn/</t>
        </is>
      </c>
      <c r="J74" t="inlineStr">
        <is>
          <t>季度数据落季度末月；能繁母猪仅保留 3000—5000 万头口径区间值，Wind 异口径值已剔除</t>
        </is>
      </c>
    </row>
    <row r="75">
      <c r="A75" s="68" t="n">
        <v>42522</v>
      </c>
      <c r="B75" t="n">
        <v>37634</v>
      </c>
      <c r="D75" t="n">
        <v>12848</v>
      </c>
      <c r="H75" t="inlineStr">
        <is>
          <t>国家统计局/农业农村部（Wind 采集）</t>
        </is>
      </c>
      <c r="I75" t="inlineStr">
        <is>
          <t>https://data.stats.gov.cn/</t>
        </is>
      </c>
      <c r="J75" t="inlineStr">
        <is>
          <t>季度数据落季度末月；能繁母猪仅保留 3000—5000 万头口径区间值，Wind 异口径值已剔除</t>
        </is>
      </c>
    </row>
    <row r="76">
      <c r="A76" s="68" t="n">
        <v>42491</v>
      </c>
      <c r="B76" t="n">
        <v>37372</v>
      </c>
      <c r="H76" t="inlineStr">
        <is>
          <t>国家统计局/农业农村部（Wind 采集）</t>
        </is>
      </c>
      <c r="I76" t="inlineStr">
        <is>
          <t>https://data.stats.gov.cn/</t>
        </is>
      </c>
      <c r="J76" t="inlineStr">
        <is>
          <t>季度数据落季度末月；能繁母猪仅保留 3000—5000 万头口径区间值，Wind 异口径值已剔除</t>
        </is>
      </c>
    </row>
    <row r="77">
      <c r="A77" s="68" t="n">
        <v>42461</v>
      </c>
      <c r="B77" t="n">
        <v>37223</v>
      </c>
      <c r="H77" t="inlineStr">
        <is>
          <t>国家统计局/农业农村部（Wind 采集）</t>
        </is>
      </c>
      <c r="I77" t="inlineStr">
        <is>
          <t>https://data.stats.gov.cn/</t>
        </is>
      </c>
      <c r="J77" t="inlineStr">
        <is>
          <t>季度数据落季度末月；能繁母猪仅保留 3000—5000 万头口径区间值，Wind 异口径值已剔除</t>
        </is>
      </c>
    </row>
    <row r="78">
      <c r="A78" s="68" t="n">
        <v>42430</v>
      </c>
      <c r="B78" t="n">
        <v>37001</v>
      </c>
      <c r="D78" t="n">
        <v>19111</v>
      </c>
      <c r="H78" t="inlineStr">
        <is>
          <t>国家统计局/农业农村部（Wind 采集）</t>
        </is>
      </c>
      <c r="I78" t="inlineStr">
        <is>
          <t>https://data.stats.gov.cn/</t>
        </is>
      </c>
      <c r="J78" t="inlineStr">
        <is>
          <t>季度数据落季度末月；能繁母猪仅保留 3000—5000 万头口径区间值，Wind 异口径值已剔除</t>
        </is>
      </c>
    </row>
    <row r="79">
      <c r="A79" s="68" t="n">
        <v>42401</v>
      </c>
      <c r="B79" t="n">
        <v>36671</v>
      </c>
      <c r="H79" t="inlineStr">
        <is>
          <t>国家统计局/农业农村部（Wind 采集）</t>
        </is>
      </c>
      <c r="I79" t="inlineStr">
        <is>
          <t>https://data.stats.gov.cn/</t>
        </is>
      </c>
      <c r="J79" t="inlineStr">
        <is>
          <t>季度数据落季度末月；能繁母猪仅保留 3000—5000 万头口径区间值，Wind 异口径值已剔除</t>
        </is>
      </c>
    </row>
    <row r="80">
      <c r="A80" s="68" t="n">
        <v>42370</v>
      </c>
      <c r="B80" t="n">
        <v>37343</v>
      </c>
      <c r="H80" t="inlineStr">
        <is>
          <t>国家统计局/农业农村部（Wind 采集）</t>
        </is>
      </c>
      <c r="I80" t="inlineStr">
        <is>
          <t>https://data.stats.gov.cn/</t>
        </is>
      </c>
      <c r="J80" t="inlineStr">
        <is>
          <t>季度数据落季度末月；能繁母猪仅保留 3000—5000 万头口径区间值，Wind 异口径值已剔除</t>
        </is>
      </c>
    </row>
    <row r="81">
      <c r="A81" s="68" t="n">
        <v>42339</v>
      </c>
      <c r="B81" t="n">
        <v>38379</v>
      </c>
      <c r="D81" t="n">
        <v>21071</v>
      </c>
      <c r="E81" t="n">
        <v>88506411</v>
      </c>
      <c r="H81" t="inlineStr">
        <is>
          <t>国家统计局/农业农村部（Wind 采集）</t>
        </is>
      </c>
      <c r="I81" t="inlineStr">
        <is>
          <t>https://data.stats.gov.cn/</t>
        </is>
      </c>
      <c r="J81" t="inlineStr">
        <is>
          <t>季度数据落季度末月；能繁母猪仅保留 3000—5000 万头口径区间值，Wind 异口径值已剔除；肉鸡为父母代年末存栏(只)</t>
        </is>
      </c>
    </row>
    <row r="82">
      <c r="A82" s="68" t="n">
        <v>42309</v>
      </c>
      <c r="B82" t="n">
        <v>38806</v>
      </c>
      <c r="H82" t="inlineStr">
        <is>
          <t>国家统计局/农业农村部（Wind 采集）</t>
        </is>
      </c>
      <c r="I82" t="inlineStr">
        <is>
          <t>https://data.stats.gov.cn/</t>
        </is>
      </c>
      <c r="J82" t="inlineStr">
        <is>
          <t>季度数据落季度末月；能繁母猪仅保留 3000—5000 万头口径区间值，Wind 异口径值已剔除</t>
        </is>
      </c>
    </row>
    <row r="83">
      <c r="A83" s="68" t="n">
        <v>42278</v>
      </c>
      <c r="B83" t="n">
        <v>39080</v>
      </c>
      <c r="H83" t="inlineStr">
        <is>
          <t>国家统计局/农业农村部（Wind 采集）</t>
        </is>
      </c>
      <c r="I83" t="inlineStr">
        <is>
          <t>https://data.stats.gov.cn/</t>
        </is>
      </c>
      <c r="J83" t="inlineStr">
        <is>
          <t>季度数据落季度末月；能繁母猪仅保留 3000—5000 万头口径区间值，Wind 异口径值已剔除</t>
        </is>
      </c>
    </row>
    <row r="84">
      <c r="A84" s="68" t="n">
        <v>42248</v>
      </c>
      <c r="B84" t="n">
        <v>38963</v>
      </c>
      <c r="D84" t="n">
        <v>16317</v>
      </c>
      <c r="H84" t="inlineStr">
        <is>
          <t>国家统计局/农业农村部（Wind 采集）</t>
        </is>
      </c>
      <c r="I84" t="inlineStr">
        <is>
          <t>https://data.stats.gov.cn/</t>
        </is>
      </c>
      <c r="J84" t="inlineStr">
        <is>
          <t>季度数据落季度末月；能繁母猪仅保留 3000—5000 万头口径区间值，Wind 异口径值已剔除</t>
        </is>
      </c>
    </row>
    <row r="85">
      <c r="A85" s="68" t="n">
        <v>42217</v>
      </c>
      <c r="B85" t="n">
        <v>38731</v>
      </c>
      <c r="H85" t="inlineStr">
        <is>
          <t>国家统计局/农业农村部（Wind 采集）</t>
        </is>
      </c>
      <c r="I85" t="inlineStr">
        <is>
          <t>https://data.stats.gov.cn/</t>
        </is>
      </c>
      <c r="J85" t="inlineStr">
        <is>
          <t>季度数据落季度末月；能繁母猪仅保留 3000—5000 万头口径区间值，Wind 异口径值已剔除</t>
        </is>
      </c>
    </row>
    <row r="86">
      <c r="A86" s="68" t="n">
        <v>42186</v>
      </c>
      <c r="B86" t="n">
        <v>38538</v>
      </c>
      <c r="H86" t="inlineStr">
        <is>
          <t>国家统计局/农业农村部（Wind 采集）</t>
        </is>
      </c>
      <c r="I86" t="inlineStr">
        <is>
          <t>https://data.stats.gov.cn/</t>
        </is>
      </c>
      <c r="J86" t="inlineStr">
        <is>
          <t>季度数据落季度末月；能繁母猪仅保留 3000—5000 万头口径区间值，Wind 异口径值已剔除</t>
        </is>
      </c>
    </row>
    <row r="87">
      <c r="A87" s="68" t="n">
        <v>42156</v>
      </c>
      <c r="B87" t="n">
        <v>38461</v>
      </c>
      <c r="D87" t="n">
        <v>13126</v>
      </c>
      <c r="H87" t="inlineStr">
        <is>
          <t>国家统计局/农业农村部（Wind 采集）</t>
        </is>
      </c>
      <c r="I87" t="inlineStr">
        <is>
          <t>https://data.stats.gov.cn/</t>
        </is>
      </c>
      <c r="J87" t="inlineStr">
        <is>
          <t>季度数据落季度末月；能繁母猪仅保留 3000—5000 万头口径区间值，Wind 异口径值已剔除</t>
        </is>
      </c>
    </row>
    <row r="88">
      <c r="A88" s="68" t="n">
        <v>42125</v>
      </c>
      <c r="B88" t="n">
        <v>38615</v>
      </c>
      <c r="H88" t="inlineStr">
        <is>
          <t>国家统计局/农业农村部（Wind 采集）</t>
        </is>
      </c>
      <c r="I88" t="inlineStr">
        <is>
          <t>https://data.stats.gov.cn/</t>
        </is>
      </c>
      <c r="J88" t="inlineStr">
        <is>
          <t>季度数据落季度末月；能繁母猪仅保留 3000—5000 万头口径区间值，Wind 异口径值已剔除</t>
        </is>
      </c>
    </row>
    <row r="89">
      <c r="A89" s="68" t="n">
        <v>42095</v>
      </c>
      <c r="B89" t="n">
        <v>38692</v>
      </c>
      <c r="H89" t="inlineStr">
        <is>
          <t>国家统计局/农业农村部（Wind 采集）</t>
        </is>
      </c>
      <c r="I89" t="inlineStr">
        <is>
          <t>https://data.stats.gov.cn/</t>
        </is>
      </c>
      <c r="J89" t="inlineStr">
        <is>
          <t>季度数据落季度末月；能繁母猪仅保留 3000—5000 万头口径区间值，Wind 异口径值已剔除</t>
        </is>
      </c>
    </row>
    <row r="90">
      <c r="A90" s="68" t="n">
        <v>42064</v>
      </c>
      <c r="B90" t="n">
        <v>38700</v>
      </c>
      <c r="D90" t="n">
        <v>20311</v>
      </c>
      <c r="H90" t="inlineStr">
        <is>
          <t>国家统计局/农业农村部（Wind 采集）</t>
        </is>
      </c>
      <c r="I90" t="inlineStr">
        <is>
          <t>https://data.stats.gov.cn/</t>
        </is>
      </c>
      <c r="J90" t="inlineStr">
        <is>
          <t>季度数据落季度末月；能繁母猪仅保留 3000—5000 万头口径区间值，Wind 异口径值已剔除</t>
        </is>
      </c>
    </row>
    <row r="91">
      <c r="A91" s="68" t="n">
        <v>42036</v>
      </c>
      <c r="B91" t="n">
        <v>38973</v>
      </c>
      <c r="H91" t="inlineStr">
        <is>
          <t>国家统计局/农业农村部（Wind 采集）</t>
        </is>
      </c>
      <c r="I91" t="inlineStr">
        <is>
          <t>https://data.stats.gov.cn/</t>
        </is>
      </c>
      <c r="J91" t="inlineStr">
        <is>
          <t>季度数据落季度末月；能繁母猪仅保留 3000—5000 万头口径区间值，Wind 异口径值已剔除</t>
        </is>
      </c>
    </row>
    <row r="92">
      <c r="A92" s="68" t="n">
        <v>42005</v>
      </c>
      <c r="B92" t="n">
        <v>40555</v>
      </c>
      <c r="H92" t="inlineStr">
        <is>
          <t>国家统计局/农业农村部（Wind 采集）</t>
        </is>
      </c>
      <c r="I92" t="inlineStr">
        <is>
          <t>https://data.stats.gov.cn/</t>
        </is>
      </c>
      <c r="J92" t="inlineStr">
        <is>
          <t>季度数据落季度末月；能繁母猪仅保留 3000—5000 万头口径区间值，Wind 异口径值已剔除</t>
        </is>
      </c>
    </row>
    <row r="93">
      <c r="A93" s="68" t="n">
        <v>41974</v>
      </c>
      <c r="B93" t="n">
        <v>42157</v>
      </c>
      <c r="D93" t="n">
        <v>21616</v>
      </c>
      <c r="E93" t="n">
        <v>103155074</v>
      </c>
      <c r="H93" t="inlineStr">
        <is>
          <t>国家统计局/农业农村部（Wind 采集）</t>
        </is>
      </c>
      <c r="I93" t="inlineStr">
        <is>
          <t>https://data.stats.gov.cn/</t>
        </is>
      </c>
      <c r="J93" t="inlineStr">
        <is>
          <t>季度数据落季度末月；能繁母猪仅保留 3000—5000 万头口径区间值，Wind 异口径值已剔除；肉鸡为父母代年末存栏(只)</t>
        </is>
      </c>
    </row>
    <row r="94">
      <c r="A94" s="68" t="n">
        <v>41944</v>
      </c>
      <c r="B94" t="n">
        <v>43149</v>
      </c>
      <c r="H94" t="inlineStr">
        <is>
          <t>国家统计局/农业农村部（Wind 采集）</t>
        </is>
      </c>
      <c r="I94" t="inlineStr">
        <is>
          <t>https://data.stats.gov.cn/</t>
        </is>
      </c>
      <c r="J94" t="inlineStr">
        <is>
          <t>季度数据落季度末月；能繁母猪仅保留 3000—5000 万头口径区间值，Wind 异口径值已剔除</t>
        </is>
      </c>
    </row>
    <row r="95">
      <c r="A95" s="68" t="n">
        <v>41913</v>
      </c>
      <c r="B95" t="n">
        <v>43541</v>
      </c>
      <c r="H95" t="inlineStr">
        <is>
          <t>国家统计局/农业农村部（Wind 采集）</t>
        </is>
      </c>
      <c r="I95" t="inlineStr">
        <is>
          <t>https://data.stats.gov.cn/</t>
        </is>
      </c>
      <c r="J95" t="inlineStr">
        <is>
          <t>季度数据落季度末月；能繁母猪仅保留 3000—5000 万头口径区间值，Wind 异口径值已剔除</t>
        </is>
      </c>
    </row>
    <row r="96">
      <c r="A96" s="68" t="n">
        <v>41883</v>
      </c>
      <c r="B96" t="n">
        <v>43628</v>
      </c>
      <c r="D96" t="n">
        <v>16672</v>
      </c>
      <c r="H96" t="inlineStr">
        <is>
          <t>国家统计局/农业农村部（Wind 采集）</t>
        </is>
      </c>
      <c r="I96" t="inlineStr">
        <is>
          <t>https://data.stats.gov.cn/</t>
        </is>
      </c>
      <c r="J96" t="inlineStr">
        <is>
          <t>季度数据落季度末月；能繁母猪仅保留 3000—5000 万头口径区间值，Wind 异口径值已剔除</t>
        </is>
      </c>
    </row>
    <row r="97">
      <c r="A97" s="68" t="n">
        <v>41852</v>
      </c>
      <c r="B97" t="n">
        <v>43282</v>
      </c>
      <c r="H97" t="inlineStr">
        <is>
          <t>国家统计局/农业农村部（Wind 采集）</t>
        </is>
      </c>
      <c r="I97" t="inlineStr">
        <is>
          <t>https://data.stats.gov.cn/</t>
        </is>
      </c>
      <c r="J97" t="inlineStr">
        <is>
          <t>季度数据落季度末月；能繁母猪仅保留 3000—5000 万头口径区间值，Wind 异口径值已剔除</t>
        </is>
      </c>
    </row>
    <row r="98">
      <c r="A98" s="68" t="n">
        <v>41821</v>
      </c>
      <c r="B98" t="n">
        <v>43024</v>
      </c>
      <c r="H98" t="inlineStr">
        <is>
          <t>国家统计局/农业农村部（Wind 采集）</t>
        </is>
      </c>
      <c r="I98" t="inlineStr">
        <is>
          <t>https://data.stats.gov.cn/</t>
        </is>
      </c>
      <c r="J98" t="inlineStr">
        <is>
          <t>季度数据落季度末月；能繁母猪仅保留 3000—5000 万头口径区间值，Wind 异口径值已剔除</t>
        </is>
      </c>
    </row>
    <row r="99">
      <c r="A99" s="68" t="n">
        <v>41791</v>
      </c>
      <c r="B99" t="n">
        <v>42895</v>
      </c>
      <c r="D99" t="n">
        <v>14126</v>
      </c>
      <c r="H99" t="inlineStr">
        <is>
          <t>国家统计局/农业农村部（Wind 采集）</t>
        </is>
      </c>
      <c r="I99" t="inlineStr">
        <is>
          <t>https://data.stats.gov.cn/</t>
        </is>
      </c>
      <c r="J99" t="inlineStr">
        <is>
          <t>季度数据落季度末月；能繁母猪仅保留 3000—5000 万头口径区间值，Wind 异口径值已剔除</t>
        </is>
      </c>
    </row>
    <row r="100">
      <c r="A100" s="68" t="n">
        <v>41760</v>
      </c>
      <c r="B100" t="n">
        <v>42809</v>
      </c>
      <c r="H100" t="inlineStr">
        <is>
          <t>国家统计局/农业农村部（Wind 采集）</t>
        </is>
      </c>
      <c r="I100" t="inlineStr">
        <is>
          <t>https://data.stats.gov.cn/</t>
        </is>
      </c>
      <c r="J100" t="inlineStr">
        <is>
          <t>季度数据落季度末月；能繁母猪仅保留 3000—5000 万头口径区间值，Wind 异口径值已剔除</t>
        </is>
      </c>
    </row>
    <row r="101">
      <c r="A101" s="68" t="n">
        <v>41730</v>
      </c>
      <c r="B101" t="n">
        <v>42852</v>
      </c>
      <c r="H101" t="inlineStr">
        <is>
          <t>国家统计局/农业农村部（Wind 采集）</t>
        </is>
      </c>
      <c r="I101" t="inlineStr">
        <is>
          <t>https://data.stats.gov.cn/</t>
        </is>
      </c>
      <c r="J101" t="inlineStr">
        <is>
          <t>季度数据落季度末月；能繁母猪仅保留 3000—5000 万头口径区间值，Wind 异口径值已剔除</t>
        </is>
      </c>
    </row>
    <row r="102">
      <c r="A102" s="68" t="n">
        <v>41699</v>
      </c>
      <c r="B102" t="n">
        <v>43416</v>
      </c>
      <c r="D102" t="n">
        <v>21096</v>
      </c>
      <c r="H102" t="inlineStr">
        <is>
          <t>国家统计局/农业农村部（Wind 采集）</t>
        </is>
      </c>
      <c r="I102" t="inlineStr">
        <is>
          <t>https://data.stats.gov.cn/</t>
        </is>
      </c>
      <c r="J102" t="inlineStr">
        <is>
          <t>季度数据落季度末月；能繁母猪仅保留 3000—5000 万头口径区间值，Wind 异口径值已剔除</t>
        </is>
      </c>
    </row>
    <row r="103">
      <c r="A103" s="68" t="n">
        <v>41671</v>
      </c>
      <c r="B103" t="n">
        <v>43416</v>
      </c>
      <c r="H103" t="inlineStr">
        <is>
          <t>国家统计局/农业农村部（Wind 采集）</t>
        </is>
      </c>
      <c r="I103" t="inlineStr">
        <is>
          <t>https://data.stats.gov.cn/</t>
        </is>
      </c>
      <c r="J103" t="inlineStr">
        <is>
          <t>季度数据落季度末月；能繁母猪仅保留 3000—5000 万头口径区间值，Wind 异口径值已剔除</t>
        </is>
      </c>
    </row>
    <row r="104">
      <c r="A104" s="68" t="n">
        <v>41640</v>
      </c>
      <c r="B104" t="n">
        <v>43810</v>
      </c>
      <c r="H104" t="inlineStr">
        <is>
          <t>国家统计局/农业农村部（Wind 采集）</t>
        </is>
      </c>
      <c r="I104" t="inlineStr">
        <is>
          <t>https://data.stats.gov.cn/</t>
        </is>
      </c>
      <c r="J104" t="inlineStr">
        <is>
          <t>季度数据落季度末月；能繁母猪仅保留 3000—5000 万头口径区间值，Wind 异口径值已剔除</t>
        </is>
      </c>
    </row>
    <row r="105">
      <c r="A105" s="68" t="n">
        <v>41609</v>
      </c>
      <c r="D105" t="n">
        <v>21298</v>
      </c>
      <c r="E105" t="n">
        <v>120905288</v>
      </c>
      <c r="H105" t="inlineStr">
        <is>
          <t>国家统计局/农业农村部（Wind 采集）</t>
        </is>
      </c>
      <c r="I105" t="inlineStr">
        <is>
          <t>https://data.stats.gov.cn/</t>
        </is>
      </c>
      <c r="J105" t="inlineStr">
        <is>
          <t>季度数据落季度末月；能繁母猪仅保留 3000—5000 万头口径区间值，Wind 异口径值已剔除；肉鸡为父母代年末存栏(只)</t>
        </is>
      </c>
    </row>
    <row r="106">
      <c r="A106" s="68" t="n">
        <v>41518</v>
      </c>
      <c r="D106" t="n">
        <v>16048</v>
      </c>
      <c r="H106" t="inlineStr">
        <is>
          <t>国家统计局/农业农村部（Wind 采集）</t>
        </is>
      </c>
      <c r="I106" t="inlineStr">
        <is>
          <t>https://data.stats.gov.cn/</t>
        </is>
      </c>
      <c r="J106" t="inlineStr">
        <is>
          <t>季度数据落季度末月；能繁母猪仅保留 3000—5000 万头口径区间值，Wind 异口径值已剔除</t>
        </is>
      </c>
    </row>
    <row r="107">
      <c r="A107" s="68" t="n">
        <v>41426</v>
      </c>
      <c r="D107" t="n">
        <v>13722</v>
      </c>
      <c r="H107" t="inlineStr">
        <is>
          <t>国家统计局/农业农村部（Wind 采集）</t>
        </is>
      </c>
      <c r="I107" t="inlineStr">
        <is>
          <t>https://data.stats.gov.cn/</t>
        </is>
      </c>
      <c r="J107" t="inlineStr">
        <is>
          <t>季度数据落季度末月；能繁母猪仅保留 3000—5000 万头口径区间值，Wind 异口径值已剔除</t>
        </is>
      </c>
    </row>
    <row r="108">
      <c r="A108" s="68" t="n">
        <v>41334</v>
      </c>
      <c r="D108" t="n">
        <v>20489</v>
      </c>
      <c r="H108" t="inlineStr">
        <is>
          <t>国家统计局/农业农村部（Wind 采集）</t>
        </is>
      </c>
      <c r="I108" t="inlineStr">
        <is>
          <t>https://data.stats.gov.cn/</t>
        </is>
      </c>
      <c r="J108" t="inlineStr">
        <is>
          <t>季度数据落季度末月；能繁母猪仅保留 3000—5000 万头口径区间值，Wind 异口径值已剔除</t>
        </is>
      </c>
    </row>
    <row r="109">
      <c r="A109" s="68" t="n">
        <v>41244</v>
      </c>
      <c r="D109" t="n">
        <v>20330</v>
      </c>
      <c r="E109" t="n">
        <v>91533769</v>
      </c>
      <c r="H109" t="inlineStr">
        <is>
          <t>国家统计局/农业农村部（Wind 采集）</t>
        </is>
      </c>
      <c r="I109" t="inlineStr">
        <is>
          <t>https://data.stats.gov.cn/</t>
        </is>
      </c>
      <c r="J109" t="inlineStr">
        <is>
          <t>季度数据落季度末月；能繁母猪仅保留 3000—5000 万头口径区间值，Wind 异口径值已剔除；肉鸡为父母代年末存栏(只)</t>
        </is>
      </c>
    </row>
    <row r="110">
      <c r="A110" s="68" t="n">
        <v>41153</v>
      </c>
      <c r="D110" t="n">
        <v>15461</v>
      </c>
      <c r="H110" t="inlineStr">
        <is>
          <t>国家统计局/农业农村部（Wind 采集）</t>
        </is>
      </c>
      <c r="I110" t="inlineStr">
        <is>
          <t>https://data.stats.gov.cn/</t>
        </is>
      </c>
      <c r="J110" t="inlineStr">
        <is>
          <t>季度数据落季度末月；能繁母猪仅保留 3000—5000 万头口径区间值，Wind 异口径值已剔除</t>
        </is>
      </c>
    </row>
    <row r="111">
      <c r="A111" s="68" t="n">
        <v>41061</v>
      </c>
      <c r="D111" t="n">
        <v>13848</v>
      </c>
      <c r="H111" t="inlineStr">
        <is>
          <t>国家统计局/农业农村部（Wind 采集）</t>
        </is>
      </c>
      <c r="I111" t="inlineStr">
        <is>
          <t>https://data.stats.gov.cn/</t>
        </is>
      </c>
      <c r="J111" t="inlineStr">
        <is>
          <t>季度数据落季度末月；能繁母猪仅保留 3000—5000 万头口径区间值，Wind 异口径值已剔除</t>
        </is>
      </c>
    </row>
    <row r="112">
      <c r="A112" s="68" t="n">
        <v>40969</v>
      </c>
      <c r="D112" t="n">
        <v>19989</v>
      </c>
      <c r="H112" t="inlineStr">
        <is>
          <t>国家统计局/农业农村部（Wind 采集）</t>
        </is>
      </c>
      <c r="I112" t="inlineStr">
        <is>
          <t>https://data.stats.gov.cn/</t>
        </is>
      </c>
      <c r="J112" t="inlineStr">
        <is>
          <t>季度数据落季度末月；能繁母猪仅保留 3000—5000 万头口径区间值，Wind 异口径值已剔除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</cols>
  <sheetData>
    <row r="1">
      <c r="A1" s="3" t="inlineStr">
        <is>
          <t>价格、基差与相关市场｜月度</t>
        </is>
      </c>
    </row>
    <row r="2"/>
    <row r="3">
      <c r="A3" s="41" t="inlineStr">
        <is>
          <t>首选来源：DCE、CME、现货报价、外汇及运费数据　https://www.dce.com.cn/</t>
        </is>
      </c>
    </row>
    <row r="4" ht="34" customHeight="1">
      <c r="A4" s="6" t="inlineStr">
        <is>
          <t>月份
必填</t>
        </is>
      </c>
      <c r="B4" s="6" t="inlineStr">
        <is>
          <t>现货区域
必填</t>
        </is>
      </c>
      <c r="C4" s="6" t="inlineStr">
        <is>
          <t>豆粕期货月均价
必填</t>
        </is>
      </c>
      <c r="D4" s="6" t="inlineStr">
        <is>
          <t>豆粕期货月末价
必填</t>
        </is>
      </c>
      <c r="E4" s="6" t="inlineStr">
        <is>
          <t>豆粕现货月均价
必填</t>
        </is>
      </c>
      <c r="F4" s="6" t="inlineStr">
        <is>
          <t>月均基差
自动</t>
        </is>
      </c>
      <c r="G4" s="6" t="inlineStr">
        <is>
          <t>CBOT大豆月均价
必填</t>
        </is>
      </c>
      <c r="H4" s="6" t="inlineStr">
        <is>
          <t>豆油月均价
选填</t>
        </is>
      </c>
      <c r="I4" s="6" t="inlineStr">
        <is>
          <t>玉米月均价
选填</t>
        </is>
      </c>
      <c r="J4" s="6" t="inlineStr">
        <is>
          <t>美元兑人民币月均汇率
必填</t>
        </is>
      </c>
      <c r="K4" s="6" t="inlineStr">
        <is>
          <t>海运费月均值
选填</t>
        </is>
      </c>
      <c r="L4" s="6" t="inlineStr">
        <is>
          <t>来源网址
必填</t>
        </is>
      </c>
      <c r="M4" s="6" t="inlineStr">
        <is>
          <t>备注
选填</t>
        </is>
      </c>
    </row>
    <row r="5" ht="22" customHeight="1">
      <c r="A5" s="64" t="n">
        <v>46113</v>
      </c>
      <c r="B5" s="45" t="inlineStr">
        <is>
          <t>全国均价</t>
        </is>
      </c>
      <c r="C5" s="60" t="n"/>
      <c r="D5" s="60" t="n"/>
      <c r="E5" s="60" t="n">
        <v>3012.52</v>
      </c>
      <c r="F5" s="65">
        <f>IF(OR(C5="",E5=""),"",E5-C5)</f>
        <v/>
      </c>
      <c r="G5" s="60" t="n">
        <v>425.29</v>
      </c>
      <c r="H5" s="60" t="n"/>
      <c r="I5" s="60" t="n"/>
      <c r="J5" s="60" t="n">
        <v>6.8683</v>
      </c>
      <c r="K5" s="60" t="n"/>
      <c r="L5" s="45" t="inlineStr">
        <is>
          <t>Wind 数据终端</t>
        </is>
      </c>
      <c r="M5" s="45" t="inlineStr">
        <is>
          <t>期货/汇率/CBOT 月均 Wind 通道不可得，留空；现货为日度月均；CBOT=IMF月均(美元/吨)、汇率=外汇交易中心月均（Gildata）；DCE期货价/海运费暂无公开月度源</t>
        </is>
      </c>
    </row>
    <row r="6" ht="22" customHeight="1">
      <c r="A6" s="66" t="n">
        <v>46143</v>
      </c>
      <c r="B6" s="46" t="inlineStr">
        <is>
          <t>全国均价</t>
        </is>
      </c>
      <c r="C6" s="62" t="n"/>
      <c r="D6" s="62" t="n"/>
      <c r="E6" s="62" t="n">
        <v>2974.55</v>
      </c>
      <c r="F6" s="67">
        <f>IF(OR(C6="",E6=""),"",E6-C6)</f>
        <v/>
      </c>
      <c r="G6" s="62" t="n">
        <v>439.15</v>
      </c>
      <c r="H6" s="62" t="n">
        <v>8790.59</v>
      </c>
      <c r="I6" s="62" t="n">
        <v>2436.59</v>
      </c>
      <c r="J6" s="62" t="n">
        <v>6.8385</v>
      </c>
      <c r="K6" s="62" t="n"/>
      <c r="L6" s="46" t="inlineStr">
        <is>
          <t>Wind 数据终端</t>
        </is>
      </c>
      <c r="M6" s="46" t="inlineStr">
        <is>
          <t>期货/汇率/CBOT 月均 Wind 通道不可得，留空；现货为日度月均；CBOT=IMF月均(美元/吨)、豆油=汇易网月均、玉米=汇易网月均、汇率=外汇交易中心月均（Gildata）；DCE期货价/海运费暂无公开月度源</t>
        </is>
      </c>
    </row>
    <row r="7" ht="22" customHeight="1">
      <c r="A7" s="66" t="n">
        <v>46174</v>
      </c>
      <c r="B7" s="46" t="inlineStr">
        <is>
          <t>全国均价</t>
        </is>
      </c>
      <c r="C7" s="62" t="n"/>
      <c r="D7" s="62" t="n"/>
      <c r="E7" s="62" t="n">
        <v>2878.53</v>
      </c>
      <c r="F7" s="67">
        <f>IF(OR(C7="",E7=""),"",E7-C7)</f>
        <v/>
      </c>
      <c r="G7" s="62" t="n">
        <v>414.54</v>
      </c>
      <c r="H7" s="62" t="n">
        <v>8652.83</v>
      </c>
      <c r="I7" s="62" t="n">
        <v>2416.1</v>
      </c>
      <c r="J7" s="62" t="n">
        <v>6.8154</v>
      </c>
      <c r="K7" s="62" t="n"/>
      <c r="L7" s="46" t="inlineStr">
        <is>
          <t>Wind 数据终端</t>
        </is>
      </c>
      <c r="M7" s="46" t="inlineStr">
        <is>
          <t>期货/汇率/CBOT 月均 Wind 通道不可得，留空；现货为日度月均；CBOT=IMF月均(美元/吨)、豆油=汇易网月均、玉米=汇易网月均、汇率=外汇交易中心月均（Gildata）；DCE期货价/海运费暂无公开月度源</t>
        </is>
      </c>
    </row>
    <row r="8" ht="22" customHeight="1">
      <c r="A8" s="66" t="n">
        <v>46204</v>
      </c>
      <c r="B8" s="46" t="inlineStr">
        <is>
          <t>全国均价</t>
        </is>
      </c>
      <c r="C8" s="62" t="n"/>
      <c r="D8" s="62" t="n"/>
      <c r="E8" s="62" t="n">
        <v>3011.13</v>
      </c>
      <c r="F8" s="67">
        <f>IF(OR(C8="",E8=""),"",E8-C8)</f>
        <v/>
      </c>
      <c r="G8" s="62" t="n"/>
      <c r="H8" s="62" t="n">
        <v>8736.93</v>
      </c>
      <c r="I8" s="62" t="n">
        <v>2397.28</v>
      </c>
      <c r="J8" s="62" t="n">
        <v>6.797</v>
      </c>
      <c r="K8" s="62" t="n"/>
      <c r="L8" s="46" t="inlineStr">
        <is>
          <t>Wind 数据终端</t>
        </is>
      </c>
      <c r="M8" s="46" t="inlineStr">
        <is>
          <t>期货/汇率/CBOT 月均 Wind 通道不可得，留空；现货为日度月均；豆油=汇易网月均、玉米=汇易网月均、汇率=外汇交易中心月均（Gildata）；DCE期货价/海运费暂无公开月度源</t>
        </is>
      </c>
    </row>
    <row r="9" ht="22" customHeight="1">
      <c r="A9" s="66" t="n">
        <v>45139</v>
      </c>
      <c r="B9" s="46" t="inlineStr">
        <is>
          <t>全国均价</t>
        </is>
      </c>
      <c r="C9" s="62" t="n"/>
      <c r="D9" s="62" t="n"/>
      <c r="E9" s="62" t="n"/>
      <c r="F9" s="67">
        <f>IF(OR(C9="",E9=""),"",E9-C9)</f>
        <v/>
      </c>
      <c r="G9" s="62" t="n">
        <v>510.15</v>
      </c>
      <c r="H9" s="62" t="n"/>
      <c r="I9" s="62" t="n"/>
      <c r="J9" s="62" t="n">
        <v>7.1733</v>
      </c>
      <c r="K9" s="62" t="n"/>
      <c r="L9" s="46" t="inlineStr">
        <is>
          <t>Gildata（IMF/中国外汇交易中心，2026-08-01 采集）</t>
        </is>
      </c>
      <c r="M9" s="46" t="inlineStr">
        <is>
          <t>仅 CBOT 大豆月均(美元/吨,IMF)与人民币月均汇率；现货/期货/豆油/玉米/海运暂无该月公开数据</t>
        </is>
      </c>
    </row>
    <row r="10" ht="22" customHeight="1">
      <c r="A10" s="66" t="n">
        <v>45170</v>
      </c>
      <c r="B10" s="46" t="inlineStr">
        <is>
          <t>全国均价</t>
        </is>
      </c>
      <c r="C10" s="62" t="n"/>
      <c r="D10" s="62" t="n"/>
      <c r="E10" s="62" t="n"/>
      <c r="F10" s="67">
        <f>IF(OR(C10="",E10=""),"",E10-C10)</f>
        <v/>
      </c>
      <c r="G10" s="62" t="n">
        <v>487.15</v>
      </c>
      <c r="H10" s="62" t="n"/>
      <c r="I10" s="62" t="n"/>
      <c r="J10" s="62" t="n">
        <v>7.1839</v>
      </c>
      <c r="K10" s="62" t="n"/>
      <c r="L10" s="46" t="inlineStr">
        <is>
          <t>Gildata（IMF/中国外汇交易中心，2026-08-01 采集）</t>
        </is>
      </c>
      <c r="M10" s="46" t="inlineStr">
        <is>
          <t>仅 CBOT 大豆月均(美元/吨,IMF)与人民币月均汇率；现货/期货/豆油/玉米/海运暂无该月公开数据</t>
        </is>
      </c>
    </row>
    <row r="11" ht="22" customHeight="1">
      <c r="A11" s="66" t="n">
        <v>45200</v>
      </c>
      <c r="B11" s="46" t="inlineStr">
        <is>
          <t>全国均价</t>
        </is>
      </c>
      <c r="C11" s="62" t="n"/>
      <c r="D11" s="62" t="n"/>
      <c r="E11" s="62" t="n"/>
      <c r="F11" s="67">
        <f>IF(OR(C11="",E11=""),"",E11-C11)</f>
        <v/>
      </c>
      <c r="G11" s="62" t="n">
        <v>471.93</v>
      </c>
      <c r="H11" s="62" t="n"/>
      <c r="I11" s="62" t="n"/>
      <c r="J11" s="62" t="n">
        <v>7.1786</v>
      </c>
      <c r="K11" s="62" t="n"/>
      <c r="L11" s="46" t="inlineStr">
        <is>
          <t>Gildata（IMF/中国外汇交易中心，2026-08-01 采集）</t>
        </is>
      </c>
      <c r="M11" s="46" t="inlineStr">
        <is>
          <t>仅 CBOT 大豆月均(美元/吨,IMF)与人民币月均汇率；现货/期货/豆油/玉米/海运暂无该月公开数据</t>
        </is>
      </c>
    </row>
    <row r="12" ht="22" customHeight="1">
      <c r="A12" s="66" t="n">
        <v>45231</v>
      </c>
      <c r="B12" s="46" t="inlineStr">
        <is>
          <t>全国均价</t>
        </is>
      </c>
      <c r="C12" s="62" t="n"/>
      <c r="D12" s="62" t="n"/>
      <c r="E12" s="62" t="n"/>
      <c r="F12" s="67">
        <f>IF(OR(C12="",E12=""),"",E12-C12)</f>
        <v/>
      </c>
      <c r="G12" s="62" t="n">
        <v>494.35</v>
      </c>
      <c r="H12" s="62" t="n"/>
      <c r="I12" s="62" t="n"/>
      <c r="J12" s="62" t="n">
        <v>7.1544</v>
      </c>
      <c r="K12" s="62" t="n"/>
      <c r="L12" s="46" t="inlineStr">
        <is>
          <t>Gildata（IMF/中国外汇交易中心，2026-08-01 采集）</t>
        </is>
      </c>
      <c r="M12" s="46" t="inlineStr">
        <is>
          <t>仅 CBOT 大豆月均(美元/吨,IMF)与人民币月均汇率；现货/期货/豆油/玉米/海运暂无该月公开数据</t>
        </is>
      </c>
    </row>
    <row r="13" ht="22" customHeight="1">
      <c r="A13" s="66" t="n">
        <v>45261</v>
      </c>
      <c r="B13" s="46" t="inlineStr">
        <is>
          <t>全国均价</t>
        </is>
      </c>
      <c r="C13" s="62" t="n"/>
      <c r="D13" s="62" t="n"/>
      <c r="E13" s="62" t="n"/>
      <c r="F13" s="67">
        <f>IF(OR(C13="",E13=""),"",E13-C13)</f>
        <v/>
      </c>
      <c r="G13" s="62" t="n">
        <v>481.49</v>
      </c>
      <c r="H13" s="62" t="n"/>
      <c r="I13" s="62" t="n"/>
      <c r="J13" s="62" t="n">
        <v>7.1039</v>
      </c>
      <c r="K13" s="62" t="n"/>
      <c r="L13" s="46" t="inlineStr">
        <is>
          <t>Gildata（IMF/中国外汇交易中心，2026-08-01 采集）</t>
        </is>
      </c>
      <c r="M13" s="46" t="inlineStr">
        <is>
          <t>仅 CBOT 大豆月均(美元/吨,IMF)与人民币月均汇率；现货/期货/豆油/玉米/海运暂无该月公开数据</t>
        </is>
      </c>
    </row>
    <row r="14" ht="22" customHeight="1">
      <c r="A14" s="66" t="n">
        <v>45292</v>
      </c>
      <c r="B14" s="46" t="inlineStr">
        <is>
          <t>全国均价</t>
        </is>
      </c>
      <c r="C14" s="62" t="n"/>
      <c r="D14" s="62" t="n"/>
      <c r="E14" s="62" t="n"/>
      <c r="F14" s="67">
        <f>IF(OR(C14="",E14=""),"",E14-C14)</f>
        <v/>
      </c>
      <c r="G14" s="62" t="n">
        <v>452.63</v>
      </c>
      <c r="H14" s="62" t="n"/>
      <c r="I14" s="62" t="n"/>
      <c r="J14" s="62" t="n">
        <v>7.106</v>
      </c>
      <c r="K14" s="62" t="n"/>
      <c r="L14" s="46" t="inlineStr">
        <is>
          <t>Gildata（IMF/中国外汇交易中心，2026-08-01 采集）</t>
        </is>
      </c>
      <c r="M14" s="46" t="inlineStr">
        <is>
          <t>仅 CBOT 大豆月均(美元/吨,IMF)与人民币月均汇率；现货/期货/豆油/玉米/海运暂无该月公开数据</t>
        </is>
      </c>
    </row>
    <row r="15" ht="22" customHeight="1">
      <c r="A15" s="66" t="n">
        <v>45323</v>
      </c>
      <c r="B15" s="46" t="inlineStr">
        <is>
          <t>全国均价</t>
        </is>
      </c>
      <c r="C15" s="62" t="n"/>
      <c r="D15" s="62" t="n"/>
      <c r="E15" s="62" t="n"/>
      <c r="F15" s="67">
        <f>IF(OR(C15="",E15=""),"",E15-C15)</f>
        <v/>
      </c>
      <c r="G15" s="62" t="n">
        <v>429.73</v>
      </c>
      <c r="H15" s="62" t="n"/>
      <c r="I15" s="62" t="n"/>
      <c r="J15" s="62" t="n">
        <v>7.1051</v>
      </c>
      <c r="K15" s="62" t="n"/>
      <c r="L15" s="46" t="inlineStr">
        <is>
          <t>Gildata（IMF/中国外汇交易中心，2026-08-01 采集）</t>
        </is>
      </c>
      <c r="M15" s="46" t="inlineStr">
        <is>
          <t>仅 CBOT 大豆月均(美元/吨,IMF)与人民币月均汇率；现货/期货/豆油/玉米/海运暂无该月公开数据</t>
        </is>
      </c>
    </row>
    <row r="16" ht="22" customHeight="1">
      <c r="A16" s="66" t="n">
        <v>45352</v>
      </c>
      <c r="B16" s="46" t="inlineStr">
        <is>
          <t>全国均价</t>
        </is>
      </c>
      <c r="C16" s="62" t="n"/>
      <c r="D16" s="62" t="n"/>
      <c r="E16" s="62" t="n"/>
      <c r="F16" s="67">
        <f>IF(OR(C16="",E16=""),"",E16-C16)</f>
        <v/>
      </c>
      <c r="G16" s="62" t="n">
        <v>433.53</v>
      </c>
      <c r="H16" s="62" t="n"/>
      <c r="I16" s="62" t="n"/>
      <c r="J16" s="62" t="n">
        <v>7.0978</v>
      </c>
      <c r="K16" s="62" t="n"/>
      <c r="L16" s="46" t="inlineStr">
        <is>
          <t>Gildata（IMF/中国外汇交易中心，2026-08-01 采集）</t>
        </is>
      </c>
      <c r="M16" s="46" t="inlineStr">
        <is>
          <t>仅 CBOT 大豆月均(美元/吨,IMF)与人民币月均汇率；现货/期货/豆油/玉米/海运暂无该月公开数据</t>
        </is>
      </c>
    </row>
    <row r="17" ht="22" customHeight="1">
      <c r="A17" s="66" t="n">
        <v>45383</v>
      </c>
      <c r="B17" s="46" t="inlineStr">
        <is>
          <t>全国均价</t>
        </is>
      </c>
      <c r="C17" s="62" t="n"/>
      <c r="D17" s="62" t="n"/>
      <c r="E17" s="62" t="n"/>
      <c r="F17" s="67">
        <f>IF(OR(C17="",E17=""),"",E17-C17)</f>
        <v/>
      </c>
      <c r="G17" s="62" t="n">
        <v>427.92</v>
      </c>
      <c r="H17" s="62" t="n"/>
      <c r="I17" s="62" t="n"/>
      <c r="J17" s="62" t="n">
        <v>7.1007</v>
      </c>
      <c r="K17" s="62" t="n"/>
      <c r="L17" s="46" t="inlineStr">
        <is>
          <t>Gildata（IMF/中国外汇交易中心，2026-08-01 采集）</t>
        </is>
      </c>
      <c r="M17" s="46" t="inlineStr">
        <is>
          <t>仅 CBOT 大豆月均(美元/吨,IMF)与人民币月均汇率；现货/期货/豆油/玉米/海运暂无该月公开数据</t>
        </is>
      </c>
    </row>
    <row r="18" ht="22" customHeight="1">
      <c r="A18" s="66" t="n">
        <v>45413</v>
      </c>
      <c r="B18" s="46" t="inlineStr">
        <is>
          <t>全国均价</t>
        </is>
      </c>
      <c r="C18" s="62" t="n"/>
      <c r="D18" s="62" t="n"/>
      <c r="E18" s="62" t="n"/>
      <c r="F18" s="67">
        <f>IF(OR(C18="",E18=""),"",E18-C18)</f>
        <v/>
      </c>
      <c r="G18" s="62" t="n">
        <v>447.49</v>
      </c>
      <c r="H18" s="62" t="n"/>
      <c r="I18" s="62" t="n"/>
      <c r="J18" s="62" t="n">
        <v>7.1057</v>
      </c>
      <c r="K18" s="62" t="n"/>
      <c r="L18" s="46" t="inlineStr">
        <is>
          <t>Gildata（IMF/中国外汇交易中心，2026-08-01 采集）</t>
        </is>
      </c>
      <c r="M18" s="46" t="inlineStr">
        <is>
          <t>仅 CBOT 大豆月均(美元/吨,IMF)与人民币月均汇率；现货/期货/豆油/玉米/海运暂无该月公开数据</t>
        </is>
      </c>
    </row>
    <row r="19" ht="22" customHeight="1">
      <c r="A19" s="66" t="n">
        <v>45444</v>
      </c>
      <c r="B19" s="46" t="inlineStr">
        <is>
          <t>全国均价</t>
        </is>
      </c>
      <c r="C19" s="62" t="n"/>
      <c r="D19" s="62" t="n"/>
      <c r="E19" s="62" t="n"/>
      <c r="F19" s="67">
        <f>IF(OR(C19="",E19=""),"",E19-C19)</f>
        <v/>
      </c>
      <c r="G19" s="62" t="n">
        <v>430.97</v>
      </c>
      <c r="H19" s="62" t="n"/>
      <c r="I19" s="62" t="n"/>
      <c r="J19" s="62" t="n">
        <v>7.1162</v>
      </c>
      <c r="K19" s="62" t="n"/>
      <c r="L19" s="46" t="inlineStr">
        <is>
          <t>Gildata（IMF/中国外汇交易中心，2026-08-01 采集）</t>
        </is>
      </c>
      <c r="M19" s="46" t="inlineStr">
        <is>
          <t>仅 CBOT 大豆月均(美元/吨,IMF)与人民币月均汇率；现货/期货/豆油/玉米/海运暂无该月公开数据</t>
        </is>
      </c>
    </row>
    <row r="20" ht="22" customHeight="1">
      <c r="A20" s="66" t="n">
        <v>45474</v>
      </c>
      <c r="B20" s="46" t="inlineStr">
        <is>
          <t>全国均价</t>
        </is>
      </c>
      <c r="C20" s="62" t="n"/>
      <c r="D20" s="62" t="n"/>
      <c r="E20" s="62" t="n"/>
      <c r="F20" s="67">
        <f>IF(OR(C20="",E20=""),"",E20-C20)</f>
        <v/>
      </c>
      <c r="G20" s="62" t="n">
        <v>411.08</v>
      </c>
      <c r="H20" s="62" t="n"/>
      <c r="I20" s="62" t="n"/>
      <c r="J20" s="62" t="n">
        <v>7.1316</v>
      </c>
      <c r="K20" s="62" t="n"/>
      <c r="L20" s="46" t="inlineStr">
        <is>
          <t>Gildata（IMF/中国外汇交易中心，2026-08-01 采集）</t>
        </is>
      </c>
      <c r="M20" s="46" t="inlineStr">
        <is>
          <t>仅 CBOT 大豆月均(美元/吨,IMF)与人民币月均汇率；现货/期货/豆油/玉米/海运暂无该月公开数据</t>
        </is>
      </c>
    </row>
    <row r="21" ht="22" customHeight="1">
      <c r="A21" s="66" t="n">
        <v>45505</v>
      </c>
      <c r="B21" s="46" t="inlineStr">
        <is>
          <t>全国均价</t>
        </is>
      </c>
      <c r="C21" s="62" t="n"/>
      <c r="D21" s="62" t="n"/>
      <c r="E21" s="62" t="n"/>
      <c r="F21" s="67">
        <f>IF(OR(C21="",E21=""),"",E21-C21)</f>
        <v/>
      </c>
      <c r="G21" s="62" t="n">
        <v>361.83</v>
      </c>
      <c r="H21" s="62" t="n"/>
      <c r="I21" s="62" t="n"/>
      <c r="J21" s="62" t="n">
        <v>7.1342</v>
      </c>
      <c r="K21" s="62" t="n"/>
      <c r="L21" s="46" t="inlineStr">
        <is>
          <t>Gildata（IMF/中国外汇交易中心，2026-08-01 采集）</t>
        </is>
      </c>
      <c r="M21" s="46" t="inlineStr">
        <is>
          <t>仅 CBOT 大豆月均(美元/吨,IMF)与人民币月均汇率；现货/期货/豆油/玉米/海运暂无该月公开数据</t>
        </is>
      </c>
    </row>
    <row r="22" ht="22" customHeight="1">
      <c r="A22" s="66" t="n">
        <v>45536</v>
      </c>
      <c r="B22" s="46" t="inlineStr">
        <is>
          <t>全国均价</t>
        </is>
      </c>
      <c r="C22" s="62" t="n"/>
      <c r="D22" s="62" t="n"/>
      <c r="E22" s="62" t="n"/>
      <c r="F22" s="67">
        <f>IF(OR(C22="",E22=""),"",E22-C22)</f>
        <v/>
      </c>
      <c r="G22" s="62" t="n">
        <v>372.1</v>
      </c>
      <c r="H22" s="62" t="n"/>
      <c r="I22" s="62" t="n"/>
      <c r="J22" s="62" t="n">
        <v>7.0791</v>
      </c>
      <c r="K22" s="62" t="n"/>
      <c r="L22" s="46" t="inlineStr">
        <is>
          <t>Gildata（IMF/中国外汇交易中心，2026-08-01 采集）</t>
        </is>
      </c>
      <c r="M22" s="46" t="inlineStr">
        <is>
          <t>仅 CBOT 大豆月均(美元/吨,IMF)与人民币月均汇率；现货/期货/豆油/玉米/海运暂无该月公开数据</t>
        </is>
      </c>
    </row>
    <row r="23" ht="22" customHeight="1">
      <c r="A23" s="66" t="n">
        <v>45566</v>
      </c>
      <c r="B23" s="46" t="inlineStr">
        <is>
          <t>全国均价</t>
        </is>
      </c>
      <c r="C23" s="62" t="n"/>
      <c r="D23" s="62" t="n"/>
      <c r="E23" s="62" t="n"/>
      <c r="F23" s="67">
        <f>IF(OR(C23="",E23=""),"",E23-C23)</f>
        <v/>
      </c>
      <c r="G23" s="62" t="n">
        <v>368.49</v>
      </c>
      <c r="H23" s="62" t="n"/>
      <c r="I23" s="62" t="n"/>
      <c r="J23" s="62" t="n">
        <v>7.1058</v>
      </c>
      <c r="K23" s="62" t="n"/>
      <c r="L23" s="46" t="inlineStr">
        <is>
          <t>Gildata（IMF/中国外汇交易中心，2026-08-01 采集）</t>
        </is>
      </c>
      <c r="M23" s="46" t="inlineStr">
        <is>
          <t>仅 CBOT 大豆月均(美元/吨,IMF)与人民币月均汇率；现货/期货/豆油/玉米/海运暂无该月公开数据</t>
        </is>
      </c>
    </row>
    <row r="24" ht="22" customHeight="1">
      <c r="A24" s="66" t="n">
        <v>45597</v>
      </c>
      <c r="B24" s="46" t="inlineStr">
        <is>
          <t>全国均价</t>
        </is>
      </c>
      <c r="C24" s="62" t="n"/>
      <c r="D24" s="62" t="n"/>
      <c r="E24" s="62" t="n"/>
      <c r="F24" s="67">
        <f>IF(OR(C24="",E24=""),"",E24-C24)</f>
        <v/>
      </c>
      <c r="G24" s="62" t="n">
        <v>365.52</v>
      </c>
      <c r="H24" s="62" t="n"/>
      <c r="I24" s="62" t="n"/>
      <c r="J24" s="62" t="n">
        <v>7.1729</v>
      </c>
      <c r="K24" s="62" t="n"/>
      <c r="L24" s="46" t="inlineStr">
        <is>
          <t>Gildata（IMF/中国外汇交易中心，2026-08-01 采集）</t>
        </is>
      </c>
      <c r="M24" s="46" t="inlineStr">
        <is>
          <t>仅 CBOT 大豆月均(美元/吨,IMF)与人民币月均汇率；现货/期货/豆油/玉米/海运暂无该月公开数据</t>
        </is>
      </c>
    </row>
    <row r="25">
      <c r="A25" s="72" t="n">
        <v>45627</v>
      </c>
      <c r="B25" t="inlineStr">
        <is>
          <t>全国均价</t>
        </is>
      </c>
      <c r="F25">
        <f>IF(OR(C25="",E25=""),"",E25-C25)</f>
        <v/>
      </c>
      <c r="G25" t="n">
        <v>361.24</v>
      </c>
      <c r="J25" t="n">
        <v>7.1887</v>
      </c>
      <c r="L25" t="inlineStr">
        <is>
          <t>Gildata（IMF/中国外汇交易中心，2026-08-01 采集）</t>
        </is>
      </c>
      <c r="M25" t="inlineStr">
        <is>
          <t>仅 CBOT 大豆月均(美元/吨,IMF)与人民币月均汇率；现货/期货/豆油/玉米/海运暂无该月公开数据</t>
        </is>
      </c>
    </row>
    <row r="26">
      <c r="A26" s="72" t="n">
        <v>45658</v>
      </c>
      <c r="B26" t="inlineStr">
        <is>
          <t>全国均价</t>
        </is>
      </c>
      <c r="F26">
        <f>IF(OR(C26="",E26=""),"",E26-C26)</f>
        <v/>
      </c>
      <c r="G26" t="n">
        <v>377.85</v>
      </c>
      <c r="J26" t="n">
        <v>7.1833</v>
      </c>
      <c r="L26" t="inlineStr">
        <is>
          <t>Gildata（IMF/中国外汇交易中心，2026-08-01 采集）</t>
        </is>
      </c>
      <c r="M26" t="inlineStr">
        <is>
          <t>仅 CBOT 大豆月均(美元/吨,IMF)与人民币月均汇率；现货/期货/豆油/玉米/海运暂无该月公开数据</t>
        </is>
      </c>
    </row>
    <row r="27">
      <c r="A27" s="72" t="n">
        <v>45689</v>
      </c>
      <c r="B27" t="inlineStr">
        <is>
          <t>全国均价</t>
        </is>
      </c>
      <c r="F27">
        <f>IF(OR(C27="",E27=""),"",E27-C27)</f>
        <v/>
      </c>
      <c r="G27" t="n">
        <v>382.08</v>
      </c>
      <c r="J27" t="n">
        <v>7.1711</v>
      </c>
      <c r="L27" t="inlineStr">
        <is>
          <t>Gildata（IMF/中国外汇交易中心，2026-08-01 采集）</t>
        </is>
      </c>
      <c r="M27" t="inlineStr">
        <is>
          <t>仅 CBOT 大豆月均(美元/吨,IMF)与人民币月均汇率；现货/期货/豆油/玉米/海运暂无该月公开数据</t>
        </is>
      </c>
    </row>
    <row r="28">
      <c r="A28" s="72" t="n">
        <v>45717</v>
      </c>
      <c r="B28" t="inlineStr">
        <is>
          <t>全国均价</t>
        </is>
      </c>
      <c r="F28">
        <f>IF(OR(C28="",E28=""),"",E28-C28)</f>
        <v/>
      </c>
      <c r="G28" t="n">
        <v>369.34</v>
      </c>
      <c r="J28" t="n">
        <v>7.1737</v>
      </c>
      <c r="L28" t="inlineStr">
        <is>
          <t>Gildata（IMF/中国外汇交易中心，2026-08-01 采集）</t>
        </is>
      </c>
      <c r="M28" t="inlineStr">
        <is>
          <t>仅 CBOT 大豆月均(美元/吨,IMF)与人民币月均汇率；现货/期货/豆油/玉米/海运暂无该月公开数据</t>
        </is>
      </c>
    </row>
    <row r="29">
      <c r="A29" s="72" t="n">
        <v>45748</v>
      </c>
      <c r="B29" t="inlineStr">
        <is>
          <t>全国均价</t>
        </is>
      </c>
      <c r="F29">
        <f>IF(OR(C29="",E29=""),"",E29-C29)</f>
        <v/>
      </c>
      <c r="G29" t="n">
        <v>378.07</v>
      </c>
      <c r="J29" t="n">
        <v>7.2034</v>
      </c>
      <c r="L29" t="inlineStr">
        <is>
          <t>Gildata（IMF/中国外汇交易中心，2026-08-01 采集）</t>
        </is>
      </c>
      <c r="M29" t="inlineStr">
        <is>
          <t>仅 CBOT 大豆月均(美元/吨,IMF)与人民币月均汇率；现货/期货/豆油/玉米/海运暂无该月公开数据</t>
        </is>
      </c>
    </row>
    <row r="30">
      <c r="A30" s="72" t="n">
        <v>45778</v>
      </c>
      <c r="B30" t="inlineStr">
        <is>
          <t>全国均价</t>
        </is>
      </c>
      <c r="F30">
        <f>IF(OR(C30="",E30=""),"",E30-C30)</f>
        <v/>
      </c>
      <c r="G30" t="n">
        <v>387.65</v>
      </c>
      <c r="J30" t="n">
        <v>7.195</v>
      </c>
      <c r="L30" t="inlineStr">
        <is>
          <t>Gildata（IMF/中国外汇交易中心，2026-08-01 采集）</t>
        </is>
      </c>
      <c r="M30" t="inlineStr">
        <is>
          <t>仅 CBOT 大豆月均(美元/吨,IMF)与人民币月均汇率；现货/期货/豆油/玉米/海运暂无该月公开数据</t>
        </is>
      </c>
    </row>
    <row r="31">
      <c r="A31" s="72" t="n">
        <v>45809</v>
      </c>
      <c r="B31" t="inlineStr">
        <is>
          <t>全国均价</t>
        </is>
      </c>
      <c r="F31">
        <f>IF(OR(C31="",E31=""),"",E31-C31)</f>
        <v/>
      </c>
      <c r="G31" t="n">
        <v>383.52</v>
      </c>
      <c r="J31" t="n">
        <v>7.1757</v>
      </c>
      <c r="L31" t="inlineStr">
        <is>
          <t>Gildata（IMF/中国外汇交易中心，2026-08-01 采集）</t>
        </is>
      </c>
      <c r="M31" t="inlineStr">
        <is>
          <t>仅 CBOT 大豆月均(美元/吨,IMF)与人民币月均汇率；现货/期货/豆油/玉米/海运暂无该月公开数据</t>
        </is>
      </c>
    </row>
    <row r="32">
      <c r="A32" s="72" t="n">
        <v>45839</v>
      </c>
      <c r="B32" t="inlineStr">
        <is>
          <t>全国均价</t>
        </is>
      </c>
      <c r="F32">
        <f>IF(OR(C32="",E32=""),"",E32-C32)</f>
        <v/>
      </c>
      <c r="G32" t="n">
        <v>374.77</v>
      </c>
      <c r="J32" t="n">
        <v>7.1491</v>
      </c>
      <c r="L32" t="inlineStr">
        <is>
          <t>Gildata（IMF/中国外汇交易中心，2026-08-01 采集）</t>
        </is>
      </c>
      <c r="M32" t="inlineStr">
        <is>
          <t>仅 CBOT 大豆月均(美元/吨,IMF)与人民币月均汇率；现货/期货/豆油/玉米/海运暂无该月公开数据</t>
        </is>
      </c>
    </row>
    <row r="33">
      <c r="A33" s="72" t="n">
        <v>45870</v>
      </c>
      <c r="B33" t="inlineStr">
        <is>
          <t>全国均价</t>
        </is>
      </c>
      <c r="F33">
        <f>IF(OR(C33="",E33=""),"",E33-C33)</f>
        <v/>
      </c>
      <c r="G33" t="n">
        <v>372.96</v>
      </c>
      <c r="J33" t="n">
        <v>7.1309</v>
      </c>
      <c r="L33" t="inlineStr">
        <is>
          <t>Gildata（IMF/中国外汇交易中心，2026-08-01 采集）</t>
        </is>
      </c>
      <c r="M33" t="inlineStr">
        <is>
          <t>仅 CBOT 大豆月均(美元/吨,IMF)与人民币月均汇率；现货/期货/豆油/玉米/海运暂无该月公开数据</t>
        </is>
      </c>
    </row>
    <row r="34">
      <c r="A34" s="72" t="n">
        <v>45901</v>
      </c>
      <c r="B34" t="inlineStr">
        <is>
          <t>全国均价</t>
        </is>
      </c>
      <c r="F34">
        <f>IF(OR(C34="",E34=""),"",E34-C34)</f>
        <v/>
      </c>
      <c r="G34" t="n">
        <v>368.57</v>
      </c>
      <c r="J34" t="n">
        <v>7.1068</v>
      </c>
      <c r="L34" t="inlineStr">
        <is>
          <t>Gildata（IMF/中国外汇交易中心，2026-08-01 采集）</t>
        </is>
      </c>
      <c r="M34" t="inlineStr">
        <is>
          <t>仅 CBOT 大豆月均(美元/吨,IMF)与人民币月均汇率；现货/期货/豆油/玉米/海运暂无该月公开数据</t>
        </is>
      </c>
    </row>
    <row r="35">
      <c r="A35" s="72" t="n">
        <v>45931</v>
      </c>
      <c r="B35" t="inlineStr">
        <is>
          <t>全国均价</t>
        </is>
      </c>
      <c r="F35">
        <f>IF(OR(C35="",E35=""),"",E35-C35)</f>
        <v/>
      </c>
      <c r="G35" t="n">
        <v>371.57</v>
      </c>
      <c r="J35" t="n">
        <v>7.0948</v>
      </c>
      <c r="L35" t="inlineStr">
        <is>
          <t>Gildata（IMF/中国外汇交易中心，2026-08-01 采集）</t>
        </is>
      </c>
      <c r="M35" t="inlineStr">
        <is>
          <t>仅 CBOT 大豆月均(美元/吨,IMF)与人民币月均汇率；现货/期货/豆油/玉米/海运暂无该月公开数据</t>
        </is>
      </c>
    </row>
    <row r="36">
      <c r="A36" s="72" t="n">
        <v>45962</v>
      </c>
      <c r="B36" t="inlineStr">
        <is>
          <t>全国均价</t>
        </is>
      </c>
      <c r="F36">
        <f>IF(OR(C36="",E36=""),"",E36-C36)</f>
        <v/>
      </c>
      <c r="G36" t="n">
        <v>410.17</v>
      </c>
      <c r="J36" t="n">
        <v>7.0848</v>
      </c>
      <c r="L36" t="inlineStr">
        <is>
          <t>Gildata（IMF/中国外汇交易中心，2026-08-01 采集）</t>
        </is>
      </c>
      <c r="M36" t="inlineStr">
        <is>
          <t>仅 CBOT 大豆月均(美元/吨,IMF)与人民币月均汇率；现货/期货/豆油/玉米/海运暂无该月公开数据</t>
        </is>
      </c>
    </row>
    <row r="37">
      <c r="A37" s="72" t="n">
        <v>45992</v>
      </c>
      <c r="B37" t="inlineStr">
        <is>
          <t>全国均价</t>
        </is>
      </c>
      <c r="F37">
        <f>IF(OR(C37="",E37=""),"",E37-C37)</f>
        <v/>
      </c>
      <c r="G37" t="n">
        <v>391.55</v>
      </c>
      <c r="J37" t="n">
        <v>7.0593</v>
      </c>
      <c r="L37" t="inlineStr">
        <is>
          <t>Gildata（IMF/中国外汇交易中心，2026-08-01 采集）</t>
        </is>
      </c>
      <c r="M37" t="inlineStr">
        <is>
          <t>仅 CBOT 大豆月均(美元/吨,IMF)与人民币月均汇率；现货/期货/豆油/玉米/海运暂无该月公开数据</t>
        </is>
      </c>
    </row>
    <row r="38">
      <c r="A38" s="72" t="n">
        <v>46023</v>
      </c>
      <c r="B38" t="inlineStr">
        <is>
          <t>全国均价</t>
        </is>
      </c>
      <c r="F38">
        <f>IF(OR(C38="",E38=""),"",E38-C38)</f>
        <v/>
      </c>
      <c r="G38" t="n">
        <v>383.24</v>
      </c>
      <c r="J38" t="n">
        <v>7.0016</v>
      </c>
      <c r="L38" t="inlineStr">
        <is>
          <t>Gildata（IMF/中国外汇交易中心，2026-08-01 采集）</t>
        </is>
      </c>
      <c r="M38" t="inlineStr">
        <is>
          <t>仅 CBOT 大豆月均(美元/吨,IMF)与人民币月均汇率；现货/期货/豆油/玉米/海运暂无该月公开数据</t>
        </is>
      </c>
    </row>
    <row r="39">
      <c r="A39" s="72" t="n">
        <v>46054</v>
      </c>
      <c r="B39" t="inlineStr">
        <is>
          <t>全国均价</t>
        </is>
      </c>
      <c r="F39">
        <f>IF(OR(C39="",E39=""),"",E39-C39)</f>
        <v/>
      </c>
      <c r="G39" t="n">
        <v>409.48</v>
      </c>
      <c r="J39" t="n">
        <v>6.9462</v>
      </c>
      <c r="L39" t="inlineStr">
        <is>
          <t>Gildata（IMF/中国外汇交易中心，2026-08-01 采集）</t>
        </is>
      </c>
      <c r="M39" t="inlineStr">
        <is>
          <t>仅 CBOT 大豆月均(美元/吨,IMF)与人民币月均汇率；现货/期货/豆油/玉米/海运暂无该月公开数据</t>
        </is>
      </c>
    </row>
    <row r="40">
      <c r="A40" s="72" t="n">
        <v>46082</v>
      </c>
      <c r="B40" t="inlineStr">
        <is>
          <t>全国均价</t>
        </is>
      </c>
      <c r="F40">
        <f>IF(OR(C40="",E40=""),"",E40-C40)</f>
        <v/>
      </c>
      <c r="G40" t="n">
        <v>426.6</v>
      </c>
      <c r="J40" t="n">
        <v>6.9037</v>
      </c>
      <c r="L40" t="inlineStr">
        <is>
          <t>Gildata（IMF/中国外汇交易中心，2026-08-01 采集）</t>
        </is>
      </c>
      <c r="M40" t="inlineStr">
        <is>
          <t>仅 CBOT 大豆月均(美元/吨,IMF)与人民币月均汇率；现货/期货/豆油/玉米/海运暂无该月公开数据</t>
        </is>
      </c>
    </row>
  </sheetData>
  <mergeCells count="2">
    <mergeCell ref="A1:M2"/>
    <mergeCell ref="A3:M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24" customWidth="1" min="14" max="14"/>
    <col width="24" customWidth="1" min="15" max="15"/>
  </cols>
  <sheetData>
    <row r="1">
      <c r="A1" s="3" t="inlineStr">
        <is>
          <t>进口成本、压榨利润与养殖利润｜月度</t>
        </is>
      </c>
    </row>
    <row r="2"/>
    <row r="3">
      <c r="A3" s="41" t="inlineStr">
        <is>
          <t xml:space="preserve">首选来源：由进口、价格与行业数据计算　</t>
        </is>
      </c>
    </row>
    <row r="4" ht="34" customHeight="1">
      <c r="A4" s="6" t="inlineStr">
        <is>
          <t>月份
必填</t>
        </is>
      </c>
      <c r="B4" s="6" t="inlineStr">
        <is>
          <t>大豆来源
必填</t>
        </is>
      </c>
      <c r="C4" s="6" t="inlineStr">
        <is>
          <t>大豆到岸完税成本
必填</t>
        </is>
      </c>
      <c r="D4" s="6" t="inlineStr">
        <is>
          <t>豆粕销售价格
必填</t>
        </is>
      </c>
      <c r="E4" s="6" t="inlineStr">
        <is>
          <t>豆油销售价格
必填</t>
        </is>
      </c>
      <c r="F4" s="6" t="inlineStr">
        <is>
          <t>豆粕得率
必填</t>
        </is>
      </c>
      <c r="G4" s="6" t="inlineStr">
        <is>
          <t>豆油得率
必填</t>
        </is>
      </c>
      <c r="H4" s="6" t="inlineStr">
        <is>
          <t>加工及其他成本
必填</t>
        </is>
      </c>
      <c r="I4" s="6" t="inlineStr">
        <is>
          <t>压榨收入
自动</t>
        </is>
      </c>
      <c r="J4" s="6" t="inlineStr">
        <is>
          <t>压榨利润
自动</t>
        </is>
      </c>
      <c r="K4" s="6" t="inlineStr">
        <is>
          <t>生猪养殖利润
选填</t>
        </is>
      </c>
      <c r="L4" s="6" t="inlineStr">
        <is>
          <t>肉鸡养殖利润
选填</t>
        </is>
      </c>
      <c r="M4" s="6" t="inlineStr">
        <is>
          <t>蛋鸡养殖利润
选填</t>
        </is>
      </c>
      <c r="N4" s="6" t="inlineStr">
        <is>
          <t>来源网址
必填</t>
        </is>
      </c>
      <c r="O4" s="6" t="inlineStr">
        <is>
          <t>备注
选填</t>
        </is>
      </c>
    </row>
    <row r="5" ht="22" customHeight="1">
      <c r="A5" s="64" t="n">
        <v>46143</v>
      </c>
      <c r="B5" s="45" t="inlineStr">
        <is>
          <t>巴西</t>
        </is>
      </c>
      <c r="C5" s="60" t="n">
        <v>3925.67</v>
      </c>
      <c r="D5" s="60" t="n">
        <v>2974.78</v>
      </c>
      <c r="E5" s="60" t="n">
        <v>8790.59</v>
      </c>
      <c r="F5" s="69" t="n">
        <v>0.79</v>
      </c>
      <c r="G5" s="69" t="n">
        <v>0.185</v>
      </c>
      <c r="H5" s="60" t="n">
        <v>130</v>
      </c>
      <c r="I5" s="65">
        <f>IF(OR(D5="",E5="",F5="",G5=""),"",D5*F5+E5*G5)</f>
        <v/>
      </c>
      <c r="J5" s="65">
        <f>IF(OR(I5="",C5="",H5=""),"",I5-C5-H5)</f>
        <v/>
      </c>
      <c r="K5" s="60" t="n">
        <v>-338.8</v>
      </c>
      <c r="L5" s="60" t="n">
        <v>-0.61</v>
      </c>
      <c r="M5" s="60" t="n">
        <v>0.71</v>
      </c>
      <c r="N5" s="45" t="inlineStr">
        <is>
          <t>Gildata/汇易网（2026-08-01 采集）</t>
        </is>
      </c>
      <c r="O5" s="45" t="inlineStr">
        <is>
          <t>得率(粕79%/油18.5%)与加工费为行业假设(加工费=Wind国产大豆压榨成本130元/吨代理)；交叉验证:汇易网压榨利润月均 天津-107/日照-94 元/吨</t>
        </is>
      </c>
    </row>
    <row r="6" ht="22" customHeight="1">
      <c r="A6" s="66" t="n">
        <v>46143</v>
      </c>
      <c r="B6" s="46" t="inlineStr">
        <is>
          <t>美国美湾</t>
        </is>
      </c>
      <c r="C6" s="62" t="n">
        <v>4637.26</v>
      </c>
      <c r="D6" s="62" t="n">
        <v>2974.78</v>
      </c>
      <c r="E6" s="62" t="n">
        <v>8790.59</v>
      </c>
      <c r="F6" s="70" t="n">
        <v>0.79</v>
      </c>
      <c r="G6" s="70" t="n">
        <v>0.185</v>
      </c>
      <c r="H6" s="62" t="n">
        <v>130</v>
      </c>
      <c r="I6" s="67">
        <f>IF(OR(D6="",E6="",F6="",G6=""),"",D6*F6+E6*G6)</f>
        <v/>
      </c>
      <c r="J6" s="67">
        <f>IF(OR(I6="",C6="",H6=""),"",I6-C6-H6)</f>
        <v/>
      </c>
      <c r="K6" s="62" t="n">
        <v>-338.8</v>
      </c>
      <c r="L6" s="62" t="n">
        <v>-0.61</v>
      </c>
      <c r="M6" s="62" t="n">
        <v>0.71</v>
      </c>
      <c r="N6" s="46" t="inlineStr">
        <is>
          <t>Gildata/汇易网（2026-08-01 采集）</t>
        </is>
      </c>
      <c r="O6" s="46" t="inlineStr">
        <is>
          <t>得率(粕79%/油18.5%)与加工费为行业假设(加工费=Wind国产大豆压榨成本130元/吨代理)；交叉验证:汇易网压榨利润月均 天津-107/日照-94 元/吨</t>
        </is>
      </c>
    </row>
    <row r="7" ht="22" customHeight="1">
      <c r="A7" s="66" t="n">
        <v>46143</v>
      </c>
      <c r="B7" s="46" t="inlineStr">
        <is>
          <t>美国西部地区</t>
        </is>
      </c>
      <c r="C7" s="62" t="n">
        <v>4527.63</v>
      </c>
      <c r="D7" s="62" t="n">
        <v>2974.78</v>
      </c>
      <c r="E7" s="62" t="n">
        <v>8790.59</v>
      </c>
      <c r="F7" s="70" t="n">
        <v>0.79</v>
      </c>
      <c r="G7" s="70" t="n">
        <v>0.185</v>
      </c>
      <c r="H7" s="62" t="n">
        <v>130</v>
      </c>
      <c r="I7" s="67">
        <f>IF(OR(D7="",E7="",F7="",G7=""),"",D7*F7+E7*G7)</f>
        <v/>
      </c>
      <c r="J7" s="67">
        <f>IF(OR(I7="",C7="",H7=""),"",I7-C7-H7)</f>
        <v/>
      </c>
      <c r="K7" s="62" t="n">
        <v>-338.8</v>
      </c>
      <c r="L7" s="62" t="n">
        <v>-0.61</v>
      </c>
      <c r="M7" s="62" t="n">
        <v>0.71</v>
      </c>
      <c r="N7" s="46" t="inlineStr">
        <is>
          <t>Gildata/汇易网（2026-08-01 采集）</t>
        </is>
      </c>
      <c r="O7" s="46" t="inlineStr">
        <is>
          <t>得率(粕79%/油18.5%)与加工费为行业假设(加工费=Wind国产大豆压榨成本130元/吨代理)；交叉验证:汇易网压榨利润月均 天津-107/日照-94 元/吨</t>
        </is>
      </c>
    </row>
    <row r="8" ht="22" customHeight="1">
      <c r="A8" s="66" t="n">
        <v>46143</v>
      </c>
      <c r="B8" s="46" t="inlineStr">
        <is>
          <t>阿根廷</t>
        </is>
      </c>
      <c r="C8" s="62" t="n">
        <v>3950.47</v>
      </c>
      <c r="D8" s="62" t="n">
        <v>2974.78</v>
      </c>
      <c r="E8" s="62" t="n">
        <v>8790.59</v>
      </c>
      <c r="F8" s="70" t="n">
        <v>0.79</v>
      </c>
      <c r="G8" s="70" t="n">
        <v>0.185</v>
      </c>
      <c r="H8" s="62" t="n">
        <v>130</v>
      </c>
      <c r="I8" s="67">
        <f>IF(OR(D8="",E8="",F8="",G8=""),"",D8*F8+E8*G8)</f>
        <v/>
      </c>
      <c r="J8" s="67">
        <f>IF(OR(I8="",C8="",H8=""),"",I8-C8-H8)</f>
        <v/>
      </c>
      <c r="K8" s="62" t="n">
        <v>-338.8</v>
      </c>
      <c r="L8" s="62" t="n">
        <v>-0.61</v>
      </c>
      <c r="M8" s="62" t="n">
        <v>0.71</v>
      </c>
      <c r="N8" s="46" t="inlineStr">
        <is>
          <t>Gildata/汇易网（2026-08-01 采集）</t>
        </is>
      </c>
      <c r="O8" s="46" t="inlineStr">
        <is>
          <t>得率(粕79%/油18.5%)与加工费为行业假设(加工费=Wind国产大豆压榨成本130元/吨代理)；交叉验证:汇易网压榨利润月均 天津-107/日照-94 元/吨</t>
        </is>
      </c>
    </row>
    <row r="9" ht="22" customHeight="1">
      <c r="A9" s="66" t="n">
        <v>46174</v>
      </c>
      <c r="B9" s="46" t="inlineStr">
        <is>
          <t>巴西</t>
        </is>
      </c>
      <c r="C9" s="62" t="n">
        <v>3843.24</v>
      </c>
      <c r="D9" s="62" t="n">
        <v>2878.41</v>
      </c>
      <c r="E9" s="62" t="n">
        <v>8652.83</v>
      </c>
      <c r="F9" s="70" t="n">
        <v>0.79</v>
      </c>
      <c r="G9" s="70" t="n">
        <v>0.185</v>
      </c>
      <c r="H9" s="62" t="n">
        <v>130</v>
      </c>
      <c r="I9" s="67">
        <f>IF(OR(D9="",E9="",F9="",G9=""),"",D9*F9+E9*G9)</f>
        <v/>
      </c>
      <c r="J9" s="67">
        <f>IF(OR(I9="",C9="",H9=""),"",I9-C9-H9)</f>
        <v/>
      </c>
      <c r="K9" s="62" t="n">
        <v>-346.3</v>
      </c>
      <c r="L9" s="62" t="n">
        <v>-0.44</v>
      </c>
      <c r="M9" s="62" t="n">
        <v>1.18</v>
      </c>
      <c r="N9" s="46" t="inlineStr">
        <is>
          <t>Gildata/汇易网（2026-08-01 采集）</t>
        </is>
      </c>
      <c r="O9" s="46" t="inlineStr">
        <is>
          <t>得率(粕79%/油18.5%)与加工费为行业假设(加工费=Wind国产大豆压榨成本130元/吨代理)；交叉验证:汇易网压榨利润月均 天津-115/日照-131 元/吨</t>
        </is>
      </c>
    </row>
    <row r="10" ht="22" customHeight="1">
      <c r="A10" s="66" t="n">
        <v>46174</v>
      </c>
      <c r="B10" s="46" t="inlineStr">
        <is>
          <t>美国美湾</t>
        </is>
      </c>
      <c r="C10" s="62" t="n">
        <v>4491.44</v>
      </c>
      <c r="D10" s="62" t="n">
        <v>2878.41</v>
      </c>
      <c r="E10" s="62" t="n">
        <v>8652.83</v>
      </c>
      <c r="F10" s="70" t="n">
        <v>0.79</v>
      </c>
      <c r="G10" s="70" t="n">
        <v>0.185</v>
      </c>
      <c r="H10" s="62" t="n">
        <v>130</v>
      </c>
      <c r="I10" s="67">
        <f>IF(OR(D10="",E10="",F10="",G10=""),"",D10*F10+E10*G10)</f>
        <v/>
      </c>
      <c r="J10" s="67">
        <f>IF(OR(I10="",C10="",H10=""),"",I10-C10-H10)</f>
        <v/>
      </c>
      <c r="K10" s="62" t="n">
        <v>-346.3</v>
      </c>
      <c r="L10" s="62" t="n">
        <v>-0.44</v>
      </c>
      <c r="M10" s="62" t="n">
        <v>1.18</v>
      </c>
      <c r="N10" s="46" t="inlineStr">
        <is>
          <t>Gildata/汇易网（2026-08-01 采集）</t>
        </is>
      </c>
      <c r="O10" s="46" t="inlineStr">
        <is>
          <t>得率(粕79%/油18.5%)与加工费为行业假设(加工费=Wind国产大豆压榨成本130元/吨代理)；交叉验证:汇易网压榨利润月均 天津-115/日照-131 元/吨</t>
        </is>
      </c>
    </row>
    <row r="11" ht="22" customHeight="1">
      <c r="A11" s="66" t="n">
        <v>46174</v>
      </c>
      <c r="B11" s="46" t="inlineStr">
        <is>
          <t>美国西部地区</t>
        </is>
      </c>
      <c r="C11" s="62" t="n">
        <v>4385.24</v>
      </c>
      <c r="D11" s="62" t="n">
        <v>2878.41</v>
      </c>
      <c r="E11" s="62" t="n">
        <v>8652.83</v>
      </c>
      <c r="F11" s="70" t="n">
        <v>0.79</v>
      </c>
      <c r="G11" s="70" t="n">
        <v>0.185</v>
      </c>
      <c r="H11" s="62" t="n">
        <v>130</v>
      </c>
      <c r="I11" s="67">
        <f>IF(OR(D11="",E11="",F11="",G11=""),"",D11*F11+E11*G11)</f>
        <v/>
      </c>
      <c r="J11" s="67">
        <f>IF(OR(I11="",C11="",H11=""),"",I11-C11-H11)</f>
        <v/>
      </c>
      <c r="K11" s="62" t="n">
        <v>-346.3</v>
      </c>
      <c r="L11" s="62" t="n">
        <v>-0.44</v>
      </c>
      <c r="M11" s="62" t="n">
        <v>1.18</v>
      </c>
      <c r="N11" s="46" t="inlineStr">
        <is>
          <t>Gildata/汇易网（2026-08-01 采集）</t>
        </is>
      </c>
      <c r="O11" s="46" t="inlineStr">
        <is>
          <t>得率(粕79%/油18.5%)与加工费为行业假设(加工费=Wind国产大豆压榨成本130元/吨代理)；交叉验证:汇易网压榨利润月均 天津-115/日照-131 元/吨</t>
        </is>
      </c>
    </row>
    <row r="12" ht="22" customHeight="1">
      <c r="A12" s="66" t="n">
        <v>46174</v>
      </c>
      <c r="B12" s="46" t="inlineStr">
        <is>
          <t>阿根廷</t>
        </is>
      </c>
      <c r="C12" s="62" t="n">
        <v>3736.89</v>
      </c>
      <c r="D12" s="62" t="n">
        <v>2878.41</v>
      </c>
      <c r="E12" s="62" t="n">
        <v>8652.83</v>
      </c>
      <c r="F12" s="70" t="n">
        <v>0.79</v>
      </c>
      <c r="G12" s="70" t="n">
        <v>0.185</v>
      </c>
      <c r="H12" s="62" t="n">
        <v>130</v>
      </c>
      <c r="I12" s="67">
        <f>IF(OR(D12="",E12="",F12="",G12=""),"",D12*F12+E12*G12)</f>
        <v/>
      </c>
      <c r="J12" s="67">
        <f>IF(OR(I12="",C12="",H12=""),"",I12-C12-H12)</f>
        <v/>
      </c>
      <c r="K12" s="62" t="n">
        <v>-346.3</v>
      </c>
      <c r="L12" s="62" t="n">
        <v>-0.44</v>
      </c>
      <c r="M12" s="62" t="n">
        <v>1.18</v>
      </c>
      <c r="N12" s="46" t="inlineStr">
        <is>
          <t>Gildata/汇易网（2026-08-01 采集）</t>
        </is>
      </c>
      <c r="O12" s="46" t="inlineStr">
        <is>
          <t>得率(粕79%/油18.5%)与加工费为行业假设(加工费=Wind国产大豆压榨成本130元/吨代理)；交叉验证:汇易网压榨利润月均 天津-115/日照-131 元/吨</t>
        </is>
      </c>
    </row>
    <row r="13" ht="22" customHeight="1">
      <c r="A13" s="66" t="n">
        <v>46204</v>
      </c>
      <c r="B13" s="46" t="inlineStr">
        <is>
          <t>巴西</t>
        </is>
      </c>
      <c r="C13" s="62" t="n">
        <v>4119.06</v>
      </c>
      <c r="D13" s="62" t="n">
        <v>3011.13</v>
      </c>
      <c r="E13" s="62" t="n">
        <v>8736.93</v>
      </c>
      <c r="F13" s="70" t="n">
        <v>0.79</v>
      </c>
      <c r="G13" s="70" t="n">
        <v>0.185</v>
      </c>
      <c r="H13" s="62" t="n">
        <v>130</v>
      </c>
      <c r="I13" s="67">
        <f>IF(OR(D13="",E13="",F13="",G13=""),"",D13*F13+E13*G13)</f>
        <v/>
      </c>
      <c r="J13" s="67">
        <f>IF(OR(I13="",C13="",H13=""),"",I13-C13-H13)</f>
        <v/>
      </c>
      <c r="K13" s="62" t="n">
        <v>-210.3</v>
      </c>
      <c r="L13" s="62" t="n">
        <v>0.3</v>
      </c>
      <c r="M13" s="62" t="n">
        <v>0.9</v>
      </c>
      <c r="N13" s="46" t="inlineStr">
        <is>
          <t>Gildata/汇易网（2026-08-01 采集）</t>
        </is>
      </c>
      <c r="O13" s="46" t="inlineStr">
        <is>
          <t>得率(粕79%/油18.5%)与加工费为行业假设(加工费=Wind国产大豆压榨成本130元/吨代理)；交叉验证:汇易网压榨利润月均 天津8/日照-3 元/吨</t>
        </is>
      </c>
    </row>
    <row r="14" ht="22" customHeight="1">
      <c r="A14" s="66" t="n">
        <v>46204</v>
      </c>
      <c r="B14" s="46" t="inlineStr">
        <is>
          <t>美国美湾</t>
        </is>
      </c>
      <c r="C14" s="62" t="n">
        <v>4646.52</v>
      </c>
      <c r="D14" s="62" t="n">
        <v>3011.13</v>
      </c>
      <c r="E14" s="62" t="n">
        <v>8736.93</v>
      </c>
      <c r="F14" s="70" t="n">
        <v>0.79</v>
      </c>
      <c r="G14" s="70" t="n">
        <v>0.185</v>
      </c>
      <c r="H14" s="62" t="n">
        <v>130</v>
      </c>
      <c r="I14" s="67">
        <f>IF(OR(D14="",E14="",F14="",G14=""),"",D14*F14+E14*G14)</f>
        <v/>
      </c>
      <c r="J14" s="67">
        <f>IF(OR(I14="",C14="",H14=""),"",I14-C14-H14)</f>
        <v/>
      </c>
      <c r="K14" s="62" t="n">
        <v>-210.3</v>
      </c>
      <c r="L14" s="62" t="n">
        <v>0.3</v>
      </c>
      <c r="M14" s="62" t="n">
        <v>0.9</v>
      </c>
      <c r="N14" s="46" t="inlineStr">
        <is>
          <t>Gildata/汇易网（2026-08-01 采集）</t>
        </is>
      </c>
      <c r="O14" s="46" t="inlineStr">
        <is>
          <t>得率(粕79%/油18.5%)与加工费为行业假设(加工费=Wind国产大豆压榨成本130元/吨代理)；交叉验证:汇易网压榨利润月均 天津8/日照-3 元/吨</t>
        </is>
      </c>
    </row>
    <row r="15" ht="22" customHeight="1">
      <c r="A15" s="66" t="n">
        <v>46204</v>
      </c>
      <c r="B15" s="46" t="inlineStr">
        <is>
          <t>美国西部地区</t>
        </is>
      </c>
      <c r="C15" s="62" t="n">
        <v>4560.7</v>
      </c>
      <c r="D15" s="62" t="n">
        <v>3011.13</v>
      </c>
      <c r="E15" s="62" t="n">
        <v>8736.93</v>
      </c>
      <c r="F15" s="70" t="n">
        <v>0.79</v>
      </c>
      <c r="G15" s="70" t="n">
        <v>0.185</v>
      </c>
      <c r="H15" s="62" t="n">
        <v>130</v>
      </c>
      <c r="I15" s="67">
        <f>IF(OR(D15="",E15="",F15="",G15=""),"",D15*F15+E15*G15)</f>
        <v/>
      </c>
      <c r="J15" s="67">
        <f>IF(OR(I15="",C15="",H15=""),"",I15-C15-H15)</f>
        <v/>
      </c>
      <c r="K15" s="62" t="n">
        <v>-210.3</v>
      </c>
      <c r="L15" s="62" t="n">
        <v>0.3</v>
      </c>
      <c r="M15" s="62" t="n">
        <v>0.9</v>
      </c>
      <c r="N15" s="46" t="inlineStr">
        <is>
          <t>Gildata/汇易网（2026-08-01 采集）</t>
        </is>
      </c>
      <c r="O15" s="46" t="inlineStr">
        <is>
          <t>得率(粕79%/油18.5%)与加工费为行业假设(加工费=Wind国产大豆压榨成本130元/吨代理)；交叉验证:汇易网压榨利润月均 天津8/日照-3 元/吨</t>
        </is>
      </c>
    </row>
    <row r="16" ht="22" customHeight="1">
      <c r="A16" s="66" t="n">
        <v>46204</v>
      </c>
      <c r="B16" s="46" t="inlineStr">
        <is>
          <t>阿根廷</t>
        </is>
      </c>
      <c r="C16" s="62" t="n">
        <v>3993.66</v>
      </c>
      <c r="D16" s="62" t="n">
        <v>3011.13</v>
      </c>
      <c r="E16" s="62" t="n">
        <v>8736.93</v>
      </c>
      <c r="F16" s="70" t="n">
        <v>0.79</v>
      </c>
      <c r="G16" s="70" t="n">
        <v>0.185</v>
      </c>
      <c r="H16" s="62" t="n">
        <v>130</v>
      </c>
      <c r="I16" s="67">
        <f>IF(OR(D16="",E16="",F16="",G16=""),"",D16*F16+E16*G16)</f>
        <v/>
      </c>
      <c r="J16" s="67">
        <f>IF(OR(I16="",C16="",H16=""),"",I16-C16-H16)</f>
        <v/>
      </c>
      <c r="K16" s="62" t="n">
        <v>-210.3</v>
      </c>
      <c r="L16" s="62" t="n">
        <v>0.3</v>
      </c>
      <c r="M16" s="62" t="n">
        <v>0.9</v>
      </c>
      <c r="N16" s="46" t="inlineStr">
        <is>
          <t>Gildata/汇易网（2026-08-01 采集）</t>
        </is>
      </c>
      <c r="O16" s="46" t="inlineStr">
        <is>
          <t>得率(粕79%/油18.5%)与加工费为行业假设(加工费=Wind国产大豆压榨成本130元/吨代理)；交叉验证:汇易网压榨利润月均 天津8/日照-3 元/吨</t>
        </is>
      </c>
    </row>
    <row r="17" ht="22" customHeight="1">
      <c r="A17" s="66" t="n">
        <v>45870</v>
      </c>
      <c r="B17" s="46" t="inlineStr">
        <is>
          <t>—（仅养殖利润）</t>
        </is>
      </c>
      <c r="C17" s="62" t="n"/>
      <c r="D17" s="62" t="n"/>
      <c r="E17" s="62" t="n"/>
      <c r="F17" s="70" t="n"/>
      <c r="G17" s="70" t="n"/>
      <c r="H17" s="62" t="n"/>
      <c r="I17" s="67">
        <f>IF(OR(D17="",E17="",F17="",G17=""),"",D17*F17+E17*G17)</f>
        <v/>
      </c>
      <c r="J17" s="67">
        <f>IF(OR(I17="",C17="",H17=""),"",I17-C17-H17)</f>
        <v/>
      </c>
      <c r="K17" s="62" t="n">
        <v>35.2</v>
      </c>
      <c r="L17" s="62" t="n">
        <v>-0.58</v>
      </c>
      <c r="M17" s="62" t="n">
        <v>-0.22</v>
      </c>
      <c r="N17" s="46" t="inlineStr">
        <is>
          <t>Gildata/博亚和讯、涌益（2026-08-01 采集）</t>
        </is>
      </c>
      <c r="O17" s="46" t="inlineStr">
        <is>
          <t>仅养殖利润（周度→月均）；到岸成本/销售价暂无该月公开数据</t>
        </is>
      </c>
    </row>
    <row r="18" ht="22" customHeight="1">
      <c r="A18" s="66" t="n">
        <v>45901</v>
      </c>
      <c r="B18" s="46" t="inlineStr">
        <is>
          <t>—（仅养殖利润）</t>
        </is>
      </c>
      <c r="C18" s="62" t="n"/>
      <c r="D18" s="62" t="n"/>
      <c r="E18" s="62" t="n"/>
      <c r="F18" s="70" t="n"/>
      <c r="G18" s="70" t="n"/>
      <c r="H18" s="62" t="n"/>
      <c r="I18" s="67">
        <f>IF(OR(D18="",E18="",F18="",G18=""),"",D18*F18+E18*G18)</f>
        <v/>
      </c>
      <c r="J18" s="67">
        <f>IF(OR(I18="",C18="",H18=""),"",I18-C18-H18)</f>
        <v/>
      </c>
      <c r="K18" s="62" t="n">
        <v>-7.3</v>
      </c>
      <c r="L18" s="62" t="n">
        <v>-0.27</v>
      </c>
      <c r="M18" s="62" t="n">
        <v>0.01</v>
      </c>
      <c r="N18" s="46" t="inlineStr">
        <is>
          <t>Gildata/博亚和讯、涌益（2026-08-01 采集）</t>
        </is>
      </c>
      <c r="O18" s="46" t="inlineStr">
        <is>
          <t>仅养殖利润（周度→月均）；到岸成本/销售价暂无该月公开数据</t>
        </is>
      </c>
    </row>
    <row r="19" ht="22" customHeight="1">
      <c r="A19" s="66" t="n">
        <v>45931</v>
      </c>
      <c r="B19" s="46" t="inlineStr">
        <is>
          <t>—（仅养殖利润）</t>
        </is>
      </c>
      <c r="C19" s="62" t="n"/>
      <c r="D19" s="62" t="n"/>
      <c r="E19" s="62" t="n"/>
      <c r="F19" s="70" t="n"/>
      <c r="G19" s="70" t="n"/>
      <c r="H19" s="62" t="n"/>
      <c r="I19" s="67">
        <f>IF(OR(D19="",E19="",F19="",G19=""),"",D19*F19+E19*G19)</f>
        <v/>
      </c>
      <c r="J19" s="67">
        <f>IF(OR(I19="",C19="",H19=""),"",I19-C19-H19)</f>
        <v/>
      </c>
      <c r="K19" s="62" t="n">
        <v>-168</v>
      </c>
      <c r="L19" s="62" t="n">
        <v>-0.05</v>
      </c>
      <c r="M19" s="62" t="n">
        <v>-0.43</v>
      </c>
      <c r="N19" s="46" t="inlineStr">
        <is>
          <t>Gildata/博亚和讯、涌益（2026-08-01 采集）</t>
        </is>
      </c>
      <c r="O19" s="46" t="inlineStr">
        <is>
          <t>仅养殖利润（周度→月均）；到岸成本/销售价暂无该月公开数据</t>
        </is>
      </c>
    </row>
    <row r="20" ht="22" customHeight="1">
      <c r="A20" s="66" t="n">
        <v>45962</v>
      </c>
      <c r="B20" s="46" t="inlineStr">
        <is>
          <t>—（仅养殖利润）</t>
        </is>
      </c>
      <c r="C20" s="62" t="n"/>
      <c r="D20" s="62" t="n"/>
      <c r="E20" s="62" t="n"/>
      <c r="F20" s="70" t="n"/>
      <c r="G20" s="70" t="n"/>
      <c r="H20" s="62" t="n"/>
      <c r="I20" s="67">
        <f>IF(OR(D20="",E20="",F20="",G20=""),"",D20*F20+E20*G20)</f>
        <v/>
      </c>
      <c r="J20" s="67">
        <f>IF(OR(I20="",C20="",H20=""),"",I20-C20-H20)</f>
        <v/>
      </c>
      <c r="K20" s="62" t="n">
        <v>-122</v>
      </c>
      <c r="L20" s="62" t="n">
        <v>-0.17</v>
      </c>
      <c r="M20" s="62" t="n">
        <v>-0.43</v>
      </c>
      <c r="N20" s="46" t="inlineStr">
        <is>
          <t>Gildata/博亚和讯、涌益（2026-08-01 采集）</t>
        </is>
      </c>
      <c r="O20" s="46" t="inlineStr">
        <is>
          <t>仅养殖利润（周度→月均）；到岸成本/销售价暂无该月公开数据</t>
        </is>
      </c>
    </row>
    <row r="21" ht="22" customHeight="1">
      <c r="A21" s="66" t="n">
        <v>45992</v>
      </c>
      <c r="B21" s="46" t="inlineStr">
        <is>
          <t>—（仅养殖利润）</t>
        </is>
      </c>
      <c r="C21" s="62" t="n"/>
      <c r="D21" s="62" t="n"/>
      <c r="E21" s="62" t="n"/>
      <c r="F21" s="70" t="n"/>
      <c r="G21" s="70" t="n"/>
      <c r="H21" s="62" t="n"/>
      <c r="I21" s="67">
        <f>IF(OR(D21="",E21="",F21="",G21=""),"",D21*F21+E21*G21)</f>
        <v/>
      </c>
      <c r="J21" s="67">
        <f>IF(OR(I21="",C21="",H21=""),"",I21-C21-H21)</f>
        <v/>
      </c>
      <c r="K21" s="62" t="n">
        <v>-148</v>
      </c>
      <c r="L21" s="62" t="n">
        <v>-0.26</v>
      </c>
      <c r="M21" s="62" t="n">
        <v>-0.37</v>
      </c>
      <c r="N21" s="46" t="inlineStr">
        <is>
          <t>Gildata/博亚和讯、涌益（2026-08-01 采集）</t>
        </is>
      </c>
      <c r="O21" s="46" t="inlineStr">
        <is>
          <t>仅养殖利润（周度→月均）；到岸成本/销售价暂无该月公开数据</t>
        </is>
      </c>
    </row>
    <row r="22" ht="22" customHeight="1">
      <c r="A22" s="66" t="n">
        <v>46023</v>
      </c>
      <c r="B22" s="46" t="inlineStr">
        <is>
          <t>—（仅养殖利润）</t>
        </is>
      </c>
      <c r="C22" s="62" t="n"/>
      <c r="D22" s="62" t="n"/>
      <c r="E22" s="62" t="n"/>
      <c r="F22" s="70" t="n"/>
      <c r="G22" s="70" t="n"/>
      <c r="H22" s="62" t="n"/>
      <c r="I22" s="67">
        <f>IF(OR(D22="",E22="",F22="",G22=""),"",D22*F22+E22*G22)</f>
        <v/>
      </c>
      <c r="J22" s="67">
        <f>IF(OR(I22="",C22="",H22=""),"",I22-C22-H22)</f>
        <v/>
      </c>
      <c r="K22" s="62" t="n">
        <v>5.9</v>
      </c>
      <c r="L22" s="62" t="n">
        <v>-0.29</v>
      </c>
      <c r="M22" s="62" t="n">
        <v>-0.07000000000000001</v>
      </c>
      <c r="N22" s="46" t="inlineStr">
        <is>
          <t>Gildata/博亚和讯、涌益（2026-08-01 采集）</t>
        </is>
      </c>
      <c r="O22" s="46" t="inlineStr">
        <is>
          <t>仅养殖利润（周度→月均）；到岸成本/销售价暂无该月公开数据</t>
        </is>
      </c>
    </row>
    <row r="23" ht="22" customHeight="1">
      <c r="A23" s="66" t="n">
        <v>46054</v>
      </c>
      <c r="B23" s="46" t="inlineStr">
        <is>
          <t>—（仅养殖利润）</t>
        </is>
      </c>
      <c r="C23" s="62" t="n"/>
      <c r="D23" s="62" t="n"/>
      <c r="E23" s="62" t="n"/>
      <c r="F23" s="70" t="n"/>
      <c r="G23" s="70" t="n"/>
      <c r="H23" s="62" t="n"/>
      <c r="I23" s="67">
        <f>IF(OR(D23="",E23="",F23="",G23=""),"",D23*F23+E23*G23)</f>
        <v/>
      </c>
      <c r="J23" s="67">
        <f>IF(OR(I23="",C23="",H23=""),"",I23-C23-H23)</f>
        <v/>
      </c>
      <c r="K23" s="62" t="n">
        <v>-98.7</v>
      </c>
      <c r="L23" s="62" t="n">
        <v>0.23</v>
      </c>
      <c r="M23" s="62" t="n">
        <v>-0.18</v>
      </c>
      <c r="N23" s="46" t="inlineStr">
        <is>
          <t>Gildata/博亚和讯、涌益（2026-08-01 采集）</t>
        </is>
      </c>
      <c r="O23" s="46" t="inlineStr">
        <is>
          <t>仅养殖利润（周度→月均）；到岸成本/销售价暂无该月公开数据</t>
        </is>
      </c>
    </row>
    <row r="24" ht="22" customHeight="1">
      <c r="A24" s="66" t="n">
        <v>46082</v>
      </c>
      <c r="B24" s="46" t="inlineStr">
        <is>
          <t>—（仅养殖利润）</t>
        </is>
      </c>
      <c r="C24" s="62" t="n"/>
      <c r="D24" s="62" t="n"/>
      <c r="E24" s="62" t="n"/>
      <c r="F24" s="70" t="n"/>
      <c r="G24" s="70" t="n"/>
      <c r="H24" s="62" t="n"/>
      <c r="I24" s="67">
        <f>IF(OR(D24="",E24="",F24="",G24=""),"",D24*F24+E24*G24)</f>
        <v/>
      </c>
      <c r="J24" s="67">
        <f>IF(OR(I24="",C24="",H24=""),"",I24-C24-H24)</f>
        <v/>
      </c>
      <c r="K24" s="62" t="n">
        <v>-290.8</v>
      </c>
      <c r="L24" s="62" t="n">
        <v>0.26</v>
      </c>
      <c r="M24" s="62" t="n">
        <v>-0.3</v>
      </c>
      <c r="N24" s="46" t="inlineStr">
        <is>
          <t>Gildata/博亚和讯、涌益（2026-08-01 采集）</t>
        </is>
      </c>
      <c r="O24" s="46" t="inlineStr">
        <is>
          <t>仅养殖利润（周度→月均）；到岸成本/销售价暂无该月公开数据</t>
        </is>
      </c>
    </row>
    <row r="25">
      <c r="A25" s="72" t="n">
        <v>46113</v>
      </c>
      <c r="B25" t="inlineStr">
        <is>
          <t>—（仅养殖利润）</t>
        </is>
      </c>
      <c r="I25">
        <f>IF(OR(D25="",E25="",F25="",G25=""),"",D25*F25+E25*G25)</f>
        <v/>
      </c>
      <c r="J25">
        <f>IF(OR(I25="",C25="",H25=""),"",I25-C25-H25)</f>
        <v/>
      </c>
      <c r="K25" t="n">
        <v>-378.8</v>
      </c>
      <c r="L25" t="n">
        <v>-0.38</v>
      </c>
      <c r="M25" t="n">
        <v>0.08</v>
      </c>
      <c r="N25" t="inlineStr">
        <is>
          <t>Gildata/博亚和讯、涌益（2026-08-01 采集）</t>
        </is>
      </c>
      <c r="O25" t="inlineStr">
        <is>
          <t>仅养殖利润（周度→月均）；到岸成本/销售价暂无该月公开数据</t>
        </is>
      </c>
    </row>
  </sheetData>
  <mergeCells count="2">
    <mergeCell ref="A1:O2"/>
    <mergeCell ref="A3:O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2026-08-01T03:20:39Z</dcterms:created>
  <dcterms:modified xmlns:dcterms="http://purl.org/dc/terms/" xmlns:xsi="http://www.w3.org/2001/XMLSchema-instance" xsi:type="dcterms:W3CDTF">2026-08-01T03:49:48Z</dcterms:modified>
</cp:coreProperties>
</file>